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bce0f8cdaf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b27e9172843b40cf"/>
    <x:sheet xmlns:r="http://schemas.openxmlformats.org/officeDocument/2006/relationships" name="Summary" sheetId="2" r:id="R7c01be3694c847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1">
    <x:font>
      <x:sz val="11"/>
      <x:name val="Carlito"/>
    </x:font>
    <x:font>
      <x:sz val="10"/>
      <x:color rgb="FF15213A"/>
      <x:name val="Aptos"/>
    </x:font>
    <x:font>
      <x:b/>
      <x:sz val="10"/>
      <x:color rgb="FFF4F7FC"/>
      <x:name val="Aptos"/>
    </x:font>
    <x:font>
      <x:b/>
      <x:sz val="10"/>
      <x:color rgb="FF10192C"/>
      <x:name val="Aptos"/>
    </x:font>
    <x:font>
      <x:b/>
      <x:sz val="22"/>
      <x:color rgb="FFF4F7FC"/>
      <x:name val="Aptos Display"/>
    </x:font>
    <x:font>
      <x:sz val="11"/>
      <x:color rgb="FF15213A"/>
      <x:name val="Aptos"/>
    </x:font>
    <x:font>
      <x:b/>
      <x:sz val="11"/>
      <x:color rgb="FF10192C"/>
      <x:name val="Aptos"/>
    </x:font>
    <x:font>
      <x:b/>
      <x:sz val="11"/>
      <x:color rgb="FF17643B"/>
      <x:name val="Aptos"/>
    </x:font>
    <x:font>
      <x:sz val="10"/>
      <x:color rgb="FF6C4700"/>
      <x:name val="Aptos"/>
    </x:font>
    <x:font>
      <x:b/>
      <x:sz val="22"/>
      <x:color rgb="FFF4F7FC"/>
      <x:name val="Aptos"/>
    </x:font>
    <x:font>
      <x:sz val="1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0192C"/>
      </x:patternFill>
    </x:fill>
    <x:fill>
      <x:patternFill patternType="solid">
        <x:fgColor rgb="FFE9EEF7"/>
      </x:patternFill>
    </x:fill>
    <x:fill>
      <x:patternFill patternType="solid">
        <x:fgColor rgb="FFDDF7E8"/>
      </x:patternFill>
    </x:fill>
    <x:fill>
      <x:patternFill patternType="solid">
        <x:fgColor rgb="FFFFF3D6"/>
      </x:patternFill>
    </x:fill>
  </x:fills>
  <x:borders count="10">
    <x:border/>
    <x:border/>
    <x:border>
      <x:bottom style="medium">
        <x:color rgb="FF5FD38D"/>
      </x:bottom>
    </x:border>
    <x:border>
      <x:bottom style="medium">
        <x:color rgb="FF5FD38D"/>
      </x:bottom>
    </x:border>
    <x:border>
      <x:bottom style="thin">
        <x:color rgb="FFD9E0EC"/>
      </x:bottom>
    </x:border>
    <x:border>
      <x:top style="thin">
        <x:color rgb="FFD9E0EC"/>
      </x:top>
      <x:bottom style="thin">
        <x:color rgb="FFD9E0EC"/>
      </x:bottom>
    </x:border>
    <x:border>
      <x:top style="thin">
        <x:color rgb="FFD9E0EC"/>
      </x:top>
    </x:border>
    <x:border>
      <x:bottom style="thin">
        <x:color rgb="FFD9E0EC"/>
      </x:bottom>
    </x:border>
    <x:border>
      <x:top style="thin">
        <x:color rgb="FFD9E0EC"/>
      </x:top>
      <x:bottom style="thin">
        <x:color rgb="FFD9E0EC"/>
      </x:bottom>
    </x:border>
    <x:border>
      <x:top style="thin">
        <x:color rgb="FFD9E0EC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3" borderId="4" xfId="0" applyNumberFormat="1" applyFont="1" applyFill="1" applyBorder="1"/>
    <x:xf numFmtId="0" fontId="5" fillId="3" borderId="7" xfId="0" applyNumberFormat="1" applyFont="1" applyFill="1" applyBorder="1"/>
    <x:xf numFmtId="0" fontId="6" fillId="3" borderId="4" xfId="0" applyNumberFormat="1" applyFont="1" applyFill="1" applyBorder="1"/>
    <x:xf numFmtId="0" fontId="6" fillId="3" borderId="7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200" fontId="6" fillId="0" borderId="5" xfId="0" applyNumberFormat="1" applyFont="1" applyFill="1" applyBorder="1"/>
    <x:xf numFmtId="200" fontId="6" fillId="0" borderId="6" xfId="0" applyNumberFormat="1" applyFont="1" applyFill="1" applyBorder="1"/>
    <x:xf numFmtId="200" fontId="6" fillId="0" borderId="8" xfId="0" applyNumberFormat="1" applyFont="1" applyFill="1" applyBorder="1"/>
    <x:xf numFmtId="200" fontId="6" fillId="0" borderId="9" xfId="0" applyNumberFormat="1" applyFont="1" applyFill="1" applyBorder="1"/>
    <x:xf numFmtId="200" fontId="6" fillId="0" borderId="5" xfId="0" applyNumberFormat="1" applyFont="1" applyFill="1" applyBorder="1" applyAlignment="1">
      <x:alignment horizontal="right"/>
    </x:xf>
    <x:xf numFmtId="200" fontId="6" fillId="0" borderId="6" xfId="0" applyNumberFormat="1" applyFont="1" applyFill="1" applyBorder="1" applyAlignment="1">
      <x:alignment horizontal="right"/>
    </x:xf>
    <x:xf numFmtId="200" fontId="6" fillId="0" borderId="8" xfId="0" applyNumberFormat="1" applyFont="1" applyFill="1" applyBorder="1" applyAlignment="1">
      <x:alignment horizontal="right"/>
    </x:xf>
    <x:xf numFmtId="200" fontId="6" fillId="0" borderId="9" xfId="0" applyNumberFormat="1" applyFont="1" applyFill="1" applyBorder="1" applyAlignment="1">
      <x:alignment horizontal="right"/>
    </x:xf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8" xfId="0" applyNumberFormat="1" applyFont="1" applyFill="1" applyBorder="1"/>
    <x:xf numFmtId="0" fontId="7" fillId="4" borderId="9" xfId="0" applyNumberFormat="1" applyFont="1" applyFill="1" applyBorder="1"/>
    <x:xf numFmtId="0" fontId="7" fillId="4" borderId="5" xfId="0" applyNumberFormat="1" applyFont="1" applyFill="1" applyBorder="1" applyAlignment="1">
      <x:alignment horizontal="center"/>
    </x:xf>
    <x:xf numFmtId="0" fontId="7" fillId="4" borderId="6" xfId="0" applyNumberFormat="1" applyFont="1" applyFill="1" applyBorder="1" applyAlignment="1">
      <x:alignment horizontal="center"/>
    </x:xf>
    <x:xf numFmtId="0" fontId="7" fillId="4" borderId="8" xfId="0" applyNumberFormat="1" applyFont="1" applyFill="1" applyBorder="1" applyAlignment="1">
      <x:alignment horizontal="center"/>
    </x:xf>
    <x:xf numFmtId="0" fontId="7" fillId="4" borderId="9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17643B"/>
      </x:font>
      <x:fill>
        <x:patternFill patternType="solid">
          <x:bgColor rgb="FFDDF7E8"/>
        </x:patternFill>
      </x:fill>
    </x:dxf>
    <x:dxf>
      <x:font>
        <x:b/>
        <x:color rgb="FF9B1C1C"/>
      </x:font>
      <x:fill>
        <x:patternFill patternType="solid">
          <x:bgColor rgb="FFFDE7E7"/>
        </x:patternFill>
      </x:fill>
    </x:dxf>
    <x:dxf>
      <x:font>
        <x:b/>
        <x:color rgb="FF8A59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4d7c0fe7d459b" /><Relationship Type="http://schemas.openxmlformats.org/officeDocument/2006/relationships/theme" Target="/xl/theme/theme1.xml" Id="Re27c3ac44bbf469c" /><Relationship Type="http://schemas.openxmlformats.org/officeDocument/2006/relationships/sharedStrings" Target="/xl/sharedStrings.xml" Id="R693acbf760554239" /><Relationship Type="http://schemas.openxmlformats.org/officeDocument/2006/relationships/worksheet" Target="/xl/worksheets/sheet1.xml" Id="Rb27e9172843b40cf" /><Relationship Type="http://schemas.openxmlformats.org/officeDocument/2006/relationships/worksheet" Target="/xl/worksheets/sheet2.xml" Id="R7c01be3694c847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</x:cols>
  <x:sheetData>
    <x:row r="1" ht="34" customHeight="1">
      <x:c r="A1" s="14" t="str">
        <x:v>id</x:v>
      </x:c>
      <x:c r="B1" s="14" t="str">
        <x:v>flow_id</x:v>
      </x:c>
      <x:c r="C1" s="14" t="str">
        <x:v>flow_name</x:v>
      </x:c>
      <x:c r="D1" s="14" t="str">
        <x:v>role</x:v>
      </x:c>
      <x:c r="E1" s="14" t="str">
        <x:v>route</x:v>
      </x:c>
      <x:c r="F1" s="14" t="str">
        <x:v>screen</x:v>
      </x:c>
      <x:c r="G1" s="14" t="str">
        <x:v>state</x:v>
      </x:c>
      <x:c r="H1" s="14" t="str">
        <x:v>device</x:v>
      </x:c>
      <x:c r="I1" s="14" t="str">
        <x:v>environment</x:v>
      </x:c>
      <x:c r="J1" s="14" t="str">
        <x:v>entry_path</x:v>
      </x:c>
      <x:c r="K1" s="14" t="str">
        <x:v>preconditions</x:v>
      </x:c>
      <x:c r="L1" s="14" t="str">
        <x:v>step_number</x:v>
      </x:c>
      <x:c r="M1" s="14" t="str">
        <x:v>branch</x:v>
      </x:c>
      <x:c r="N1" s="14" t="str">
        <x:v>action</x:v>
      </x:c>
      <x:c r="O1" s="14" t="str">
        <x:v>expected_transition</x:v>
      </x:c>
      <x:c r="P1" s="14" t="str">
        <x:v>actual_transition</x:v>
      </x:c>
      <x:c r="Q1" s="14" t="str">
        <x:v>api_endpoint</x:v>
      </x:c>
      <x:c r="R1" s="14" t="str">
        <x:v>api_result</x:v>
      </x:c>
      <x:c r="S1" s="14" t="str">
        <x:v>request_id</x:v>
      </x:c>
      <x:c r="T1" s="14" t="str">
        <x:v>database_tables</x:v>
      </x:c>
      <x:c r="U1" s="14" t="str">
        <x:v>database_result</x:v>
      </x:c>
      <x:c r="V1" s="14" t="str">
        <x:v>rls_result</x:v>
      </x:c>
      <x:c r="W1" s="14" t="str">
        <x:v>audit_event</x:v>
      </x:c>
      <x:c r="X1" s="14" t="str">
        <x:v>sentry_issue</x:v>
      </x:c>
      <x:c r="Y1" s="14" t="str">
        <x:v>sentry_result</x:v>
      </x:c>
      <x:c r="Z1" s="14" t="str">
        <x:v>affected_roles</x:v>
      </x:c>
      <x:c r="AA1" s="14" t="str">
        <x:v>affected_role_result</x:v>
      </x:c>
      <x:c r="AB1" s="14" t="str">
        <x:v>purpose_clear</x:v>
      </x:c>
      <x:c r="AC1" s="14" t="str">
        <x:v>primary_action_clear</x:v>
      </x:c>
      <x:c r="AD1" s="14" t="str">
        <x:v>unnecessary_ui</x:v>
      </x:c>
      <x:c r="AE1" s="14" t="str">
        <x:v>generic_ai_patterns</x:v>
      </x:c>
      <x:c r="AF1" s="14" t="str">
        <x:v>copy_direct</x:v>
      </x:c>
      <x:c r="AG1" s="14" t="str">
        <x:v>native_behavior</x:v>
      </x:c>
      <x:c r="AH1" s="14" t="str">
        <x:v>football_specific</x:v>
      </x:c>
      <x:c r="AI1" s="14" t="str">
        <x:v>visual_consistency</x:v>
      </x:c>
      <x:c r="AJ1" s="14" t="str">
        <x:v>accessibility</x:v>
      </x:c>
      <x:c r="AK1" s="14" t="str">
        <x:v>status</x:v>
      </x:c>
      <x:c r="AL1" s="14" t="str">
        <x:v>severity</x:v>
      </x:c>
      <x:c r="AM1" s="14" t="str">
        <x:v>evidence</x:v>
      </x:c>
      <x:c r="AN1" s="14" t="str">
        <x:v>issue</x:v>
      </x:c>
      <x:c r="AO1" s="14" t="str">
        <x:v>fix_commit</x:v>
      </x:c>
      <x:c r="AP1" s="14" t="str">
        <x:v>retest_status</x:v>
      </x:c>
      <x:c r="AQ1" s="14" t="str">
        <x:v>notes</x:v>
      </x:c>
    </x:row>
    <x:row r="2" ht="48" customHeight="1">
      <x:c r="A2" s="18" t="str">
        <x:v>ENV-001</x:v>
      </x:c>
      <x:c r="B2" s="16" t="str">
        <x:v>PREFLIGHT-NATIVE</x:v>
      </x:c>
      <x:c r="C2" s="16" t="str">
        <x:v>Native runtime preflight</x:v>
      </x:c>
      <x:c r="D2" s="16" t="str">
        <x:v>system</x:v>
      </x:c>
      <x:c r="E2" s="16" t="str"/>
      <x:c r="F2" s="16" t="str">
        <x:v>Expo Go project launch</x:v>
      </x:c>
      <x:c r="G2" s="16" t="str">
        <x:v>initial launch</x:v>
      </x:c>
      <x:c r="H2" s="16" t="str">
        <x:v>iPhone 16 Pro</x:v>
      </x:c>
      <x:c r="I2" s="16" t="str">
        <x:v>staging</x:v>
      </x:c>
      <x:c r="J2" s="16" t="str">
        <x:v>Expo Go deep link</x:v>
      </x:c>
      <x:c r="K2" s="16" t="str">
        <x:v>Metro and managed simulator available</x:v>
      </x:c>
      <x:c r="L2" s="16" t="str">
        <x:v>1</x:v>
      </x:c>
      <x:c r="M2" s="16" t="str">
        <x:v>happy path</x:v>
      </x:c>
      <x:c r="N2" s="16" t="str">
        <x:v>Open exp://127.0.0.1:8081</x:v>
      </x:c>
      <x:c r="O2" s="16" t="str">
        <x:v>Clubroom staging bundle loads in native iOS runtime</x:v>
      </x:c>
      <x:c r="P2" s="16" t="str">
        <x:v>Clubroom staging bundle loaded and rendered the sign-in screen</x:v>
      </x:c>
      <x:c r="Q2" s="16" t="str"/>
      <x:c r="R2" s="16" t="str"/>
      <x:c r="S2" s="16" t="str"/>
      <x:c r="T2" s="16" t="str"/>
      <x:c r="U2" s="16" t="str"/>
      <x:c r="V2" s="16" t="str"/>
      <x:c r="W2" s="16" t="str"/>
      <x:c r="X2" s="16" t="str"/>
      <x:c r="Y2" s="16" t="str"/>
      <x:c r="Z2" s="16" t="str">
        <x:v>all</x:v>
      </x:c>
      <x:c r="AA2" s="16" t="str">
        <x:v>Native staging entry point available</x:v>
      </x:c>
      <x:c r="AB2" s="16" t="str"/>
      <x:c r="AC2" s="16" t="str"/>
      <x:c r="AD2" s="16" t="str"/>
      <x:c r="AE2" s="16" t="str"/>
      <x:c r="AF2" s="16" t="str"/>
      <x:c r="AG2" s="16" t="str">
        <x:v>passed</x:v>
      </x:c>
      <x:c r="AH2" s="16" t="str"/>
      <x:c r="AI2" s="16" t="str"/>
      <x:c r="AJ2" s="16" t="str"/>
      <x:c r="AK2" s="16" t="str">
        <x:v>passed</x:v>
      </x:c>
      <x:c r="AL2" s="16" t="str"/>
      <x:c r="AM2" s="16" t="str">
        <x:v>reviews/ios-native-audit/screenshots/001-native-loaded.png</x:v>
      </x:c>
      <x:c r="AN2" s="16" t="str"/>
      <x:c r="AO2" s="16" t="str"/>
      <x:c r="AP2" s="16" t="str">
        <x:v>passed</x:v>
      </x:c>
      <x:c r="AQ2" s="16" t="str">
        <x:v>Actual Expo iOS runtime through Expo Go</x:v>
      </x:c>
    </x:row>
    <x:row r="3" ht="48" customHeight="1">
      <x:c r="A3" s="18" t="str">
        <x:v>ENV-002</x:v>
      </x:c>
      <x:c r="B3" s="16" t="str">
        <x:v>PREFLIGHT-API</x:v>
      </x:c>
      <x:c r="C3" s="16" t="str">
        <x:v>Fastify API preflight</x:v>
      </x:c>
      <x:c r="D3" s="16" t="str">
        <x:v>system</x:v>
      </x:c>
      <x:c r="E3" s="16" t="str">
        <x:v>/v1/health</x:v>
      </x:c>
      <x:c r="F3" s="16" t="str">
        <x:v>API health</x:v>
      </x:c>
      <x:c r="G3" s="16" t="str">
        <x:v>healthy</x:v>
      </x:c>
      <x:c r="H3" s="16" t="str">
        <x:v>local process</x:v>
      </x:c>
      <x:c r="I3" s="16" t="str">
        <x:v>staging</x:v>
      </x:c>
      <x:c r="J3" s="16" t="str">
        <x:v>Direct HTTP request</x:v>
      </x:c>
      <x:c r="K3" s="16" t="str">
        <x:v>Fastify listening on port 4000</x:v>
      </x:c>
      <x:c r="L3" s="16" t="str">
        <x:v>1</x:v>
      </x:c>
      <x:c r="M3" s="16" t="str">
        <x:v>happy path</x:v>
      </x:c>
      <x:c r="N3" s="16" t="str">
        <x:v>GET /v1/health</x:v>
      </x:c>
      <x:c r="O3" s="16" t="str">
        <x:v>HTTP 200 health response</x:v>
      </x:c>
      <x:c r="P3" s="16" t="str">
        <x:v>HTTP 200</x:v>
      </x:c>
      <x:c r="Q3" s="16" t="str">
        <x:v>/v1/health</x:v>
      </x:c>
      <x:c r="R3" s="16" t="str">
        <x:v>pass</x:v>
      </x:c>
      <x:c r="S3" s="16" t="str"/>
      <x:c r="T3" s="16" t="str"/>
      <x:c r="U3" s="16" t="str"/>
      <x:c r="V3" s="16" t="str"/>
      <x:c r="W3" s="16" t="str"/>
      <x:c r="X3" s="16" t="str"/>
      <x:c r="Y3" s="16" t="str"/>
      <x:c r="Z3" s="16" t="str">
        <x:v>all</x:v>
      </x:c>
      <x:c r="AA3" s="16" t="str">
        <x:v>not applicable</x:v>
      </x:c>
      <x:c r="AB3" s="16" t="str"/>
      <x:c r="AC3" s="16" t="str"/>
      <x:c r="AD3" s="16" t="str"/>
      <x:c r="AE3" s="16" t="str"/>
      <x:c r="AF3" s="16" t="str"/>
      <x:c r="AG3" s="16" t="str"/>
      <x:c r="AH3" s="16" t="str"/>
      <x:c r="AI3" s="16" t="str"/>
      <x:c r="AJ3" s="16" t="str"/>
      <x:c r="AK3" s="16" t="str">
        <x:v>passed</x:v>
      </x:c>
      <x:c r="AL3" s="16" t="str"/>
      <x:c r="AM3" s="16" t="str">
        <x:v>HTTP status captured in audit session</x:v>
      </x:c>
      <x:c r="AN3" s="16" t="str"/>
      <x:c r="AO3" s="16" t="str"/>
      <x:c r="AP3" s="16" t="str">
        <x:v>passed</x:v>
      </x:c>
      <x:c r="AQ3" s="16" t="str">
        <x:v>Response body was not persisted because only status is required</x:v>
      </x:c>
    </x:row>
    <x:row r="4" ht="48" customHeight="1">
      <x:c r="A4" s="18" t="str">
        <x:v>ENV-003</x:v>
      </x:c>
      <x:c r="B4" s="16" t="str">
        <x:v>PREFLIGHT-SUPABASE-MCP</x:v>
      </x:c>
      <x:c r="C4" s="16" t="str">
        <x:v>Supabase MCP preflight</x:v>
      </x:c>
      <x:c r="D4" s="16" t="str">
        <x:v>system</x:v>
      </x:c>
      <x:c r="E4" s="16" t="str"/>
      <x:c r="F4" s="16" t="str">
        <x:v>Supabase MCP</x:v>
      </x:c>
      <x:c r="G4" s="16" t="str">
        <x:v>connection</x:v>
      </x:c>
      <x:c r="H4" s="16" t="str">
        <x:v>local task</x:v>
      </x:c>
      <x:c r="I4" s="16" t="str">
        <x:v>staging</x:v>
      </x:c>
      <x:c r="J4" s="16" t="str">
        <x:v>MCP tool discovery</x:v>
      </x:c>
      <x:c r="K4" s="16" t="str">
        <x:v>Supabase MCP configured in .mcp.json</x:v>
      </x:c>
      <x:c r="L4" s="16" t="str">
        <x:v>1</x:v>
      </x:c>
      <x:c r="M4" s="16" t="str">
        <x:v>connection</x:v>
      </x:c>
      <x:c r="N4" s="16" t="str">
        <x:v>Discover Supabase tools</x:v>
      </x:c>
      <x:c r="O4" s="16" t="str">
        <x:v>Authenticated read-only database inspection available</x:v>
      </x:c>
      <x:c r="P4" s="16" t="str">
        <x:v>Server configured but tools not exposed in current task</x:v>
      </x:c>
      <x:c r="Q4" s="16" t="str"/>
      <x:c r="R4" s="16" t="str"/>
      <x:c r="S4" s="16" t="str"/>
      <x:c r="T4" s="16" t="str"/>
      <x:c r="U4" s="16" t="str">
        <x:v>blocked</x:v>
      </x:c>
      <x:c r="V4" s="16" t="str">
        <x:v>blocked</x:v>
      </x:c>
      <x:c r="W4" s="16" t="str"/>
      <x:c r="X4" s="16" t="str"/>
      <x:c r="Y4" s="16" t="str"/>
      <x:c r="Z4" s="16" t="str">
        <x:v>all</x:v>
      </x:c>
      <x:c r="AA4" s="16" t="str">
        <x:v>pending</x:v>
      </x:c>
      <x:c r="AB4" s="16" t="str"/>
      <x:c r="AC4" s="16" t="str"/>
      <x:c r="AD4" s="16" t="str"/>
      <x:c r="AE4" s="16" t="str"/>
      <x:c r="AF4" s="16" t="str"/>
      <x:c r="AG4" s="16" t="str"/>
      <x:c r="AH4" s="16" t="str"/>
      <x:c r="AI4" s="16" t="str"/>
      <x:c r="AJ4" s="16" t="str"/>
      <x:c r="AK4" s="16" t="str">
        <x:v>blocked</x:v>
      </x:c>
      <x:c r="AL4" s="16" t="str">
        <x:v>high</x:v>
      </x:c>
      <x:c r="AM4" s="16" t="str"/>
      <x:c r="AN4" s="16" t="str">
        <x:v>Supabase MCP is configured but unavailable in this task</x:v>
      </x:c>
      <x:c r="AO4" s="16" t="str"/>
      <x:c r="AP4" s="16" t="str">
        <x:v>blocked</x:v>
      </x:c>
      <x:c r="AQ4" s="16" t="str">
        <x:v>Direct read-only database verification is recorded separately</x:v>
      </x:c>
    </x:row>
    <x:row r="5" ht="48" customHeight="1">
      <x:c r="A5" s="18" t="str">
        <x:v>ENV-004</x:v>
      </x:c>
      <x:c r="B5" s="16" t="str">
        <x:v>PREFLIGHT-SENTRY</x:v>
      </x:c>
      <x:c r="C5" s="16" t="str">
        <x:v>Sentry preflight</x:v>
      </x:c>
      <x:c r="D5" s="16" t="str">
        <x:v>system</x:v>
      </x:c>
      <x:c r="E5" s="16" t="str"/>
      <x:c r="F5" s="16" t="str">
        <x:v>Sentry observability</x:v>
      </x:c>
      <x:c r="G5" s="16" t="str">
        <x:v>connection</x:v>
      </x:c>
      <x:c r="H5" s="16" t="str">
        <x:v>local task</x:v>
      </x:c>
      <x:c r="I5" s="16" t="str">
        <x:v>staging</x:v>
      </x:c>
      <x:c r="J5" s="16" t="str">
        <x:v>MCP and bundled read-only API</x:v>
      </x:c>
      <x:c r="K5" s="16" t="str">
        <x:v>Sentry configuration and read-only credential available</x:v>
      </x:c>
      <x:c r="L5" s="16" t="str">
        <x:v>1</x:v>
      </x:c>
      <x:c r="M5" s="16" t="str">
        <x:v>connection</x:v>
      </x:c>
      <x:c r="N5" s="16" t="str">
        <x:v>Discover MCP then query bundled Sentry client</x:v>
      </x:c>
      <x:c r="O5" s="16" t="str">
        <x:v>Authenticated read-only issue and event inspection available</x:v>
      </x:c>
      <x:c r="P5" s="16" t="str">
        <x:v>MCP unavailable; bundled read-only client completed TLS verification then received HTTP 403</x:v>
      </x:c>
      <x:c r="Q5" s="16" t="str"/>
      <x:c r="R5" s="16" t="str"/>
      <x:c r="S5" s="16" t="str"/>
      <x:c r="T5" s="16" t="str"/>
      <x:c r="U5" s="16" t="str"/>
      <x:c r="V5" s="16" t="str"/>
      <x:c r="W5" s="16" t="str"/>
      <x:c r="X5" s="16" t="str">
        <x:v>Current Sentry credential lacks project issue-read permission</x:v>
      </x:c>
      <x:c r="Y5" s="16" t="str">
        <x:v>blocked: HTTP 403 after verified HTTPS connection</x:v>
      </x:c>
      <x:c r="Z5" s="16" t="str">
        <x:v>all</x:v>
      </x:c>
      <x:c r="AA5" s="16" t="str">
        <x:v>pending</x:v>
      </x:c>
      <x:c r="AB5" s="16" t="str"/>
      <x:c r="AC5" s="16" t="str"/>
      <x:c r="AD5" s="16" t="str"/>
      <x:c r="AE5" s="16" t="str"/>
      <x:c r="AF5" s="16" t="str"/>
      <x:c r="AG5" s="16" t="str"/>
      <x:c r="AH5" s="16" t="str"/>
      <x:c r="AI5" s="16" t="str"/>
      <x:c r="AJ5" s="16" t="str"/>
      <x:c r="AK5" s="16" t="str">
        <x:v>blocked</x:v>
      </x:c>
      <x:c r="AL5" s="16" t="str">
        <x:v>medium</x:v>
      </x:c>
      <x:c r="AM5" s="16" t="str"/>
      <x:c r="AN5" s="16" t="str">
        <x:v>Staging Sentry issues cannot be queried with the current token scope</x:v>
      </x:c>
      <x:c r="AO5" s="16" t="str"/>
      <x:c r="AP5" s="16" t="str">
        <x:v>blocked</x:v>
      </x:c>
      <x:c r="AQ5" s="16" t="str">
        <x:v>No Sentry state changed; supply a project issue-read credential and retest</x:v>
      </x:c>
    </x:row>
    <x:row r="6" ht="48" customHeight="1">
      <x:c r="A6" s="18" t="str">
        <x:v>ENV-005</x:v>
      </x:c>
      <x:c r="B6" s="16" t="str">
        <x:v>PREFLIGHT-DB-DIRECT</x:v>
      </x:c>
      <x:c r="C6" s="16" t="str">
        <x:v>Staging database and RLS preflight</x:v>
      </x:c>
      <x:c r="D6" s="16" t="str">
        <x:v>system</x:v>
      </x:c>
      <x:c r="E6" s="16" t="str"/>
      <x:c r="F6" s="16" t="str">
        <x:v>Postgres catalog</x:v>
      </x:c>
      <x:c r="G6" s="16" t="str">
        <x:v>read only</x:v>
      </x:c>
      <x:c r="H6" s="16" t="str">
        <x:v>local task</x:v>
      </x:c>
      <x:c r="I6" s="16" t="str">
        <x:v>staging</x:v>
      </x:c>
      <x:c r="J6" s="16" t="str">
        <x:v>Existing Prisma client</x:v>
      </x:c>
      <x:c r="K6" s="16" t="str">
        <x:v>Staging database connection configured</x:v>
      </x:c>
      <x:c r="L6" s="16" t="str">
        <x:v>1</x:v>
      </x:c>
      <x:c r="M6" s="16" t="str">
        <x:v>read only</x:v>
      </x:c>
      <x:c r="N6" s="16" t="str">
        <x:v>Inspect public tables RLS flags and grants</x:v>
      </x:c>
      <x:c r="O6" s="16" t="str">
        <x:v>Database reachable with RLS enabled and no anon or authenticated table grants</x:v>
      </x:c>
      <x:c r="P6" s="16" t="str">
        <x:v>124 public tables found; 124 have RLS enabled; zero table grants to anon or authenticated</x:v>
      </x:c>
      <x:c r="Q6" s="16" t="str"/>
      <x:c r="R6" s="16" t="str"/>
      <x:c r="S6" s="16" t="str"/>
      <x:c r="T6" s="16" t="str">
        <x:v>124 public tables</x:v>
      </x:c>
      <x:c r="U6" s="16" t="str">
        <x:v>passed</x:v>
      </x:c>
      <x:c r="V6" s="16" t="str">
        <x:v>passed</x:v>
      </x:c>
      <x:c r="W6" s="16" t="str"/>
      <x:c r="X6" s="16" t="str"/>
      <x:c r="Y6" s="16" t="str"/>
      <x:c r="Z6" s="16" t="str">
        <x:v>all</x:v>
      </x:c>
      <x:c r="AA6" s="16" t="str">
        <x:v>No public table grants detected</x:v>
      </x:c>
      <x:c r="AB6" s="16" t="str"/>
      <x:c r="AC6" s="16" t="str"/>
      <x:c r="AD6" s="16" t="str"/>
      <x:c r="AE6" s="16" t="str"/>
      <x:c r="AF6" s="16" t="str"/>
      <x:c r="AG6" s="16" t="str"/>
      <x:c r="AH6" s="16" t="str"/>
      <x:c r="AI6" s="16" t="str"/>
      <x:c r="AJ6" s="16" t="str"/>
      <x:c r="AK6" s="16" t="str">
        <x:v>passed</x:v>
      </x:c>
      <x:c r="AL6" s="16" t="str"/>
      <x:c r="AM6" s="16" t="str">
        <x:v>Read-only pg_catalog query executed during audit</x:v>
      </x:c>
      <x:c r="AN6" s="16" t="str"/>
      <x:c r="AO6" s="16" t="str"/>
      <x:c r="AP6" s="16" t="str">
        <x:v>passed</x:v>
      </x:c>
      <x:c r="AQ6" s="16" t="str">
        <x:v>This is a broad preflight and does not replace per-flow policy tests</x:v>
      </x:c>
    </x:row>
    <x:row r="7" ht="48" customHeight="1">
      <x:c r="A7" s="18" t="str">
        <x:v>ENV-006</x:v>
      </x:c>
      <x:c r="B7" s="16" t="str">
        <x:v>PREFLIGHT-IOS-CONTROL</x:v>
      </x:c>
      <x:c r="C7" s="16" t="str">
        <x:v>Native semantic interaction preflight</x:v>
      </x:c>
      <x:c r="D7" s="16" t="str">
        <x:v>system</x:v>
      </x:c>
      <x:c r="E7" s="16" t="str"/>
      <x:c r="F7" s="16" t="str">
        <x:v>iOS accessibility runner</x:v>
      </x:c>
      <x:c r="G7" s="16" t="str">
        <x:v>attach</x:v>
      </x:c>
      <x:c r="H7" s="16" t="str">
        <x:v>iPhone 16 Pro</x:v>
      </x:c>
      <x:c r="I7" s="16" t="str">
        <x:v>staging</x:v>
      </x:c>
      <x:c r="J7" s="16" t="str">
        <x:v>agent-device session clubroom-ios</x:v>
      </x:c>
      <x:c r="K7" s="16" t="str">
        <x:v>Managed simulator and app running</x:v>
      </x:c>
      <x:c r="L7" s="16" t="str">
        <x:v>1</x:v>
      </x:c>
      <x:c r="M7" s="16" t="str">
        <x:v>connection</x:v>
      </x:c>
      <x:c r="N7" s="16" t="str">
        <x:v>Attach semantic interaction runner</x:v>
      </x:c>
      <x:c r="O7" s="16" t="str">
        <x:v>Accessibility tree and deterministic controls available</x:v>
      </x:c>
      <x:c r="P7" s="16" t="str">
        <x:v>Blocked because macOS Developer Tools security is disabled</x:v>
      </x:c>
      <x:c r="Q7" s="16" t="str"/>
      <x:c r="R7" s="16" t="str"/>
      <x:c r="S7" s="16" t="str"/>
      <x:c r="T7" s="16" t="str"/>
      <x:c r="U7" s="16" t="str"/>
      <x:c r="V7" s="16" t="str"/>
      <x:c r="W7" s="16" t="str"/>
      <x:c r="X7" s="16" t="str"/>
      <x:c r="Y7" s="16" t="str"/>
      <x:c r="Z7" s="16" t="str">
        <x:v>all</x:v>
      </x:c>
      <x:c r="AA7" s="16" t="str">
        <x:v>Native screenshots available but deterministic interaction blocked</x:v>
      </x:c>
      <x:c r="AB7" s="16" t="str"/>
      <x:c r="AC7" s="16" t="str"/>
      <x:c r="AD7" s="16" t="str"/>
      <x:c r="AE7" s="16" t="str"/>
      <x:c r="AF7" s="16" t="str"/>
      <x:c r="AG7" s="16" t="str"/>
      <x:c r="AH7" s="16" t="str"/>
      <x:c r="AI7" s="16" t="str"/>
      <x:c r="AJ7" s="16" t="str">
        <x:v>blocked</x:v>
      </x:c>
      <x:c r="AK7" s="16" t="str">
        <x:v>blocked</x:v>
      </x:c>
      <x:c r="AL7" s="16" t="str">
        <x:v>high</x:v>
      </x:c>
      <x:c r="AM7" s="16" t="str">
        <x:v>reviews/ios-native-audit/screenshots/002-email-focus-attempt.png</x:v>
      </x:c>
      <x:c r="AN7" s="16" t="str">
        <x:v>Cannot traverse and assert every native control until DevToolsSecurity is enabled</x:v>
      </x:c>
      <x:c r="AO7" s="16" t="str"/>
      <x:c r="AP7" s="16" t="str">
        <x:v>blocked</x:v>
      </x:c>
      <x:c r="AQ7" s="16" t="str">
        <x:v>User action requested: sudo DevToolsSecurity -enable</x:v>
      </x:c>
    </x:row>
    <x:row r="8" ht="48" customHeight="1">
      <x:c r="A8" s="18" t="str">
        <x:v>UI-001</x:v>
      </x:c>
      <x:c r="B8" s="16" t="str">
        <x:v>AUTH-LOGIN-VISUAL</x:v>
      </x:c>
      <x:c r="C8" s="16" t="str">
        <x:v>Native sign-in simplification</x:v>
      </x:c>
      <x:c r="D8" s="16" t="str">
        <x:v>all signed-out users</x:v>
      </x:c>
      <x:c r="E8" s="16" t="str">
        <x:v>app/login.tsx</x:v>
      </x:c>
      <x:c r="F8" s="16" t="str">
        <x:v>LoginScreen</x:v>
      </x:c>
      <x:c r="G8" s="16" t="str">
        <x:v>signed out</x:v>
      </x:c>
      <x:c r="H8" s="16" t="str">
        <x:v>iPhone 16 Pro</x:v>
      </x:c>
      <x:c r="I8" s="16" t="str">
        <x:v>staging</x:v>
      </x:c>
      <x:c r="J8" s="16" t="str">
        <x:v>Cold native launch</x:v>
      </x:c>
      <x:c r="K8" s="16" t="str">
        <x:v>Clubroom bundle loaded</x:v>
      </x:c>
      <x:c r="L8" s="16" t="str">
        <x:v>1</x:v>
      </x:c>
      <x:c r="M8" s="16" t="str">
        <x:v>visual and accessibility</x:v>
      </x:c>
      <x:c r="N8" s="16" t="str">
        <x:v>Inspect then simplify the sign-in screen</x:v>
      </x:c>
      <x:c r="O8" s="16" t="str">
        <x:v>Direct branded sign-in with one clear primary action</x:v>
      </x:c>
      <x:c r="P8" s="16" t="str">
        <x:v>Removed slogan badge promotional copy redundant helper text and entrance animation; added native credential and accessibility metadata</x:v>
      </x:c>
      <x:c r="Q8" s="16" t="str"/>
      <x:c r="R8" s="16" t="str"/>
      <x:c r="S8" s="16" t="str"/>
      <x:c r="T8" s="16" t="str"/>
      <x:c r="U8" s="16" t="str"/>
      <x:c r="V8" s="16" t="str"/>
      <x:c r="W8" s="16" t="str"/>
      <x:c r="X8" s="16" t="str"/>
      <x:c r="Y8" s="16" t="str"/>
      <x:c r="Z8" s="16" t="str">
        <x:v>all</x:v>
      </x:c>
      <x:c r="AA8" s="16" t="str">
        <x:v>Cleaner shared authentication entry point</x:v>
      </x:c>
      <x:c r="AB8" s="16" t="str">
        <x:v>passed</x:v>
      </x:c>
      <x:c r="AC8" s="16" t="str">
        <x:v>passed</x:v>
      </x:c>
      <x:c r="AD8" s="16" t="str">
        <x:v>passed after fix</x:v>
      </x:c>
      <x:c r="AE8" s="16" t="str">
        <x:v>passed after fix</x:v>
      </x:c>
      <x:c r="AF8" s="16" t="str">
        <x:v>passed</x:v>
      </x:c>
      <x:c r="AG8" s="16" t="str">
        <x:v>passed</x:v>
      </x:c>
      <x:c r="AH8" s="16" t="str">
        <x:v>not applicable</x:v>
      </x:c>
      <x:c r="AI8" s="16" t="str">
        <x:v>passed</x:v>
      </x:c>
      <x:c r="AJ8" s="16" t="str">
        <x:v>static pass; semantic retest blocked</x:v>
      </x:c>
      <x:c r="AK8" s="16" t="str">
        <x:v>fixed</x:v>
      </x:c>
      <x:c r="AL8" s="16" t="str">
        <x:v>medium</x:v>
      </x:c>
      <x:c r="AM8" s="16" t="str">
        <x:v>reviews/ios-native-audit/screenshots/001-native-loaded.png | reviews/ios-native-audit/screenshots/003-login-after.png</x:v>
      </x:c>
      <x:c r="AN8" s="16" t="str">
        <x:v>Sign-in used oversized generic marketing copy and unnecessary animation before the primary task</x:v>
      </x:c>
      <x:c r="AO8" s="16" t="str">
        <x:v>fix(auth): simplify native sign-in experience</x:v>
      </x:c>
      <x:c r="AP8" s="16" t="str">
        <x:v>visual passed; semantic blocked</x:v>
      </x:c>
      <x:c r="AQ8" s="16" t="str">
        <x:v>Typecheck UI action lint file ESLint and React Doctor completed</x:v>
      </x:c>
    </x:row>
    <x:row r="9" ht="48" customHeight="1">
      <x:c r="A9" s="18" t="str">
        <x:v>API-001</x:v>
      </x:c>
      <x:c r="B9" s="16" t="str">
        <x:v>API-PROBLEM-DETAIL</x:v>
      </x:c>
      <x:c r="C9" s="16" t="str">
        <x:v>Safe API problem display</x:v>
      </x:c>
      <x:c r="D9" s="16" t="str">
        <x:v>all API users</x:v>
      </x:c>
      <x:c r="E9" s="16" t="str">
        <x:v>services/api-client.ts</x:v>
      </x:c>
      <x:c r="F9" s="16" t="str">
        <x:v>Shared ErrorState</x:v>
      </x:c>
      <x:c r="G9" s="16" t="str">
        <x:v>API request rejected</x:v>
      </x:c>
      <x:c r="H9" s="16" t="str">
        <x:v>responsive browser viewport</x:v>
      </x:c>
      <x:c r="I9" s="16" t="str">
        <x:v>staging</x:v>
      </x:c>
      <x:c r="J9" s="16" t="str">
        <x:v>Coach opens /club/settings</x:v>
      </x:c>
      <x:c r="K9" s="16" t="str">
        <x:v>Backend returns RFC 7807 application/problem+json</x:v>
      </x:c>
      <x:c r="L9" s="16" t="str">
        <x:v>1</x:v>
      </x:c>
      <x:c r="M9" s="16" t="str">
        <x:v>error</x:v>
      </x:c>
      <x:c r="N9" s="16" t="str">
        <x:v>Handle HTTP 403 response</x:v>
      </x:c>
      <x:c r="O9" s="16" t="str">
        <x:v>Show a concise human explanation without internal payload data</x:v>
      </x:c>
      <x:c r="P9" s="16" t="str">
        <x:v>Client selects the RFC 7807 detail and shared error state no longer renders codes or debug details</x:v>
      </x:c>
      <x:c r="Q9" s="16" t="str">
        <x:v>shared /v1 error boundary</x:v>
      </x:c>
      <x:c r="R9" s="16" t="str">
        <x:v>regression test and runtime retest passed</x:v>
      </x:c>
      <x:c r="S9" s="16" t="str">
        <x:v>redacted</x:v>
      </x:c>
      <x:c r="T9" s="16" t="str"/>
      <x:c r="U9" s="16" t="str"/>
      <x:c r="V9" s="16" t="str"/>
      <x:c r="W9" s="16" t="str"/>
      <x:c r="X9" s="16" t="str"/>
      <x:c r="Y9" s="16" t="str"/>
      <x:c r="Z9" s="16" t="str">
        <x:v>all</x:v>
      </x:c>
      <x:c r="AA9" s="16" t="str">
        <x:v>Internal problem payloads no longer reach shared UI</x:v>
      </x:c>
      <x:c r="AB9" s="16" t="str">
        <x:v>passed</x:v>
      </x:c>
      <x:c r="AC9" s="16" t="str">
        <x:v>passed</x:v>
      </x:c>
      <x:c r="AD9" s="16" t="str">
        <x:v>passed after fix</x:v>
      </x:c>
      <x:c r="AE9" s="16" t="str">
        <x:v>passed after fix</x:v>
      </x:c>
      <x:c r="AF9" s="16" t="str">
        <x:v>passed</x:v>
      </x:c>
      <x:c r="AG9" s="16" t="str">
        <x:v>shared code; native interaction pending</x:v>
      </x:c>
      <x:c r="AH9" s="16" t="str">
        <x:v>not applicable</x:v>
      </x:c>
      <x:c r="AI9" s="16" t="str">
        <x:v>passed</x:v>
      </x:c>
      <x:c r="AJ9" s="16" t="str">
        <x:v>static pass</x:v>
      </x:c>
      <x:c r="AK9" s="16" t="str">
        <x:v>fixed</x:v>
      </x:c>
      <x:c r="AL9" s="16" t="str">
        <x:v>high</x:v>
      </x:c>
      <x:c r="AM9" s="16" t="str">
        <x:v>reviews/ios-native-audit/screenshots/004-club-settings-raw-error-before.png | reviews/ios-native-audit/screenshots/005-club-settings-safe-error-after.png</x:v>
      </x:c>
      <x:c r="AN9" s="16" t="str">
        <x:v>Raw problem JSON request IDs enum codes and dev debug details were exposed in product UI</x:v>
      </x:c>
      <x:c r="AO9" s="16" t="str">
        <x:v>fix(api): keep problem details out of product UI</x:v>
      </x:c>
      <x:c r="AP9" s="16" t="str">
        <x:v>unit and browser passed; native pending</x:v>
      </x:c>
      <x:c r="AQ9" s="16" t="str">
        <x:v>The separate forbidden request remains open as AUTHZ-001</x:v>
      </x:c>
    </x:row>
    <x:row r="10" ht="48" customHeight="1">
      <x:c r="A10" s="18" t="str">
        <x:v>FLOW-001</x:v>
      </x:c>
      <x:c r="B10" s="16" t="str">
        <x:v>COACH-HOME-USER-LOOKUP</x:v>
      </x:c>
      <x:c r="C10" s="16" t="str">
        <x:v>Coach home athlete identity</x:v>
      </x:c>
      <x:c r="D10" s="16" t="str">
        <x:v>coach</x:v>
      </x:c>
      <x:c r="E10" s="16" t="str">
        <x:v>/</x:v>
      </x:c>
      <x:c r="F10" s="16" t="str">
        <x:v>Coach development home</x:v>
      </x:c>
      <x:c r="G10" s="16" t="str">
        <x:v>loaded</x:v>
      </x:c>
      <x:c r="H10" s="16" t="str">
        <x:v>responsive browser viewport</x:v>
      </x:c>
      <x:c r="I10" s="16" t="str">
        <x:v>staging</x:v>
      </x:c>
      <x:c r="J10" s="16" t="str">
        <x:v>Seeded coach login</x:v>
      </x:c>
      <x:c r="K10" s="16" t="str">
        <x:v>Live coach feedback contains athlete entity IDs and display names</x:v>
      </x:c>
      <x:c r="L10" s="16" t="str">
        <x:v>1</x:v>
      </x:c>
      <x:c r="M10" s="16" t="str">
        <x:v>load</x:v>
      </x:c>
      <x:c r="N10" s="16" t="str">
        <x:v>Open coach dashboard</x:v>
      </x:c>
      <x:c r="O10" s="16" t="str">
        <x:v>Build the athlete directory from feedback authority without user-profile lookups</x:v>
      </x:c>
      <x:c r="P10" s="16" t="str">
        <x:v>Coach development maps athlete ID and athlete name directly from feedback; dashboard loads with no failed requests</x:v>
      </x:c>
      <x:c r="Q10" s="16" t="str">
        <x:v>/v1/users/:id</x:v>
      </x:c>
      <x:c r="R10" s="16" t="str">
        <x:v>no request after fix</x:v>
      </x:c>
      <x:c r="S10" s="16" t="str"/>
      <x:c r="T10" s="16" t="str"/>
      <x:c r="U10" s="16" t="str"/>
      <x:c r="V10" s="16" t="str"/>
      <x:c r="W10" s="16" t="str"/>
      <x:c r="X10" s="16" t="str"/>
      <x:c r="Y10" s="16" t="str"/>
      <x:c r="Z10" s="16" t="str">
        <x:v>coach and linked athletes</x:v>
      </x:c>
      <x:c r="AA10" s="16" t="str">
        <x:v>Coach dashboard loads without invalid identity reads</x:v>
      </x:c>
      <x:c r="AB10" s="16" t="str">
        <x:v>passed</x:v>
      </x:c>
      <x:c r="AC10" s="16" t="str">
        <x:v>passed</x:v>
      </x:c>
      <x:c r="AD10" s="16" t="str">
        <x:v>passed</x:v>
      </x:c>
      <x:c r="AE10" s="16" t="str">
        <x:v>review needed</x:v>
      </x:c>
      <x:c r="AF10" s="16" t="str">
        <x:v>passed</x:v>
      </x:c>
      <x:c r="AG10" s="16" t="str">
        <x:v>shared code; native interaction pending</x:v>
      </x:c>
      <x:c r="AH10" s="16" t="str">
        <x:v>passed</x:v>
      </x:c>
      <x:c r="AI10" s="16" t="str">
        <x:v>passed</x:v>
      </x:c>
      <x:c r="AJ10" s="16" t="str">
        <x:v>browser pass; native pending</x:v>
      </x:c>
      <x:c r="AK10" s="16" t="str">
        <x:v>fixed</x:v>
      </x:c>
      <x:c r="AL10" s="16" t="str">
        <x:v>medium</x:v>
      </x:c>
      <x:c r="AM10" s="16" t="str">
        <x:v>reviews/ios-native-audit/browser-flow-initial-findings.md | reviews/ios-native-audit/browser-flow-report.md</x:v>
      </x:c>
      <x:c r="AN10" s="16" t="str">
        <x:v>An athlete entity ID was sent to the user-profile endpoint</x:v>
      </x:c>
      <x:c r="AO10" s="16" t="str">
        <x:v>f04d222e fix(coach): use athlete feedback identity</x:v>
      </x:c>
      <x:c r="AP10" s="16" t="str">
        <x:v>source boundary and browser flow passed; native pending</x:v>
      </x:c>
      <x:c r="AQ10" s="16" t="str">
        <x:v>Fix landed concurrently and was independently traced and retested</x:v>
      </x:c>
    </x:row>
    <x:row r="11" ht="48" customHeight="1">
      <x:c r="A11" s="18" t="str">
        <x:v>FLOW-SUITE-001</x:v>
      </x:c>
      <x:c r="B11" s="16" t="str">
        <x:v>CROSS-ROLE-BROWSER-BASELINE</x:v>
      </x:c>
      <x:c r="C11" s="16" t="str">
        <x:v>Full seeded cross-role browser regression</x:v>
      </x:c>
      <x:c r="D11" s="16" t="str">
        <x:v>coach parent athlete and club admin</x:v>
      </x:c>
      <x:c r="E11" s="16" t="str">
        <x:v>71 selected routes</x:v>
      </x:c>
      <x:c r="F11" s="16" t="str">
        <x:v>Executable browser flow suite</x:v>
      </x:c>
      <x:c r="G11" s="16" t="str">
        <x:v>seeded happy paths</x:v>
      </x:c>
      <x:c r="H11" s="16" t="str">
        <x:v>responsive browser viewport</x:v>
      </x:c>
      <x:c r="I11" s="16" t="str">
        <x:v>staging</x:v>
      </x:c>
      <x:c r="J11" s="16" t="str">
        <x:v>Role-specific direct routes</x:v>
      </x:c>
      <x:c r="K11" s="16" t="str">
        <x:v>Staging API healthy and all role preflights passed</x:v>
      </x:c>
      <x:c r="L11" s="16" t="str">
        <x:v>4</x:v>
      </x:c>
      <x:c r="M11" s="16" t="str">
        <x:v>all selected flows</x:v>
      </x:c>
      <x:c r="N11" s="16" t="str">
        <x:v>Open every selected route with fixture and raw-value detection then review every screenshot</x:v>
      </x:c>
      <x:c r="O11" s="16" t="str">
        <x:v>Each flow loads without failed requests runtime exceptions invalid nested controls internal fixture copy raw timestamps raw enum labels retired rows or generic task labels</x:v>
      </x:c>
      <x:c r="P11" s="16" t="str">
        <x:v>Automated run loaded 71 of 71 and coach-core retest loaded 11 of 11; manual review found separate visual and cross-screen consistency defects</x:v>
      </x:c>
      <x:c r="Q11" s="16" t="str">
        <x:v>/v1/*</x:v>
      </x:c>
      <x:c r="R11" s="16" t="str">
        <x:v>Automated requests passed</x:v>
      </x:c>
      <x:c r="S11" s="16" t="str"/>
      <x:c r="T11" s="16" t="str">
        <x:v>booking roster and participant projections</x:v>
      </x:c>
      <x:c r="U11" s="16" t="str">
        <x:v>Active bookings and athlete names now match the visible queue</x:v>
      </x:c>
      <x:c r="V11" s="16" t="str">
        <x:v>Direct RLS verified separately</x:v>
      </x:c>
      <x:c r="W11" s="16" t="str"/>
      <x:c r="X11" s="16" t="str"/>
      <x:c r="Y11" s="16" t="str"/>
      <x:c r="Z11" s="16" t="str">
        <x:v>coach parent athlete and club admin</x:v>
      </x:c>
      <x:c r="AA11" s="16" t="str">
        <x:v>Automated totals were Coach 34 Parent 22 Athlete 13 Club admin 2; manual visual baseline remains open</x:v>
      </x:c>
      <x:c r="AB11" s="16" t="str">
        <x:v>passed</x:v>
      </x:c>
      <x:c r="AC11" s="16" t="str">
        <x:v>passed</x:v>
      </x:c>
      <x:c r="AD11" s="16" t="str">
        <x:v>failed</x:v>
      </x:c>
      <x:c r="AE11" s="16" t="str">
        <x:v>failed</x:v>
      </x:c>
      <x:c r="AF11" s="16" t="str">
        <x:v>failed</x:v>
      </x:c>
      <x:c r="AG11" s="16" t="str">
        <x:v>not native</x:v>
      </x:c>
      <x:c r="AH11" s="16" t="str">
        <x:v>automated route corpus is football product specific</x:v>
      </x:c>
      <x:c r="AI11" s="16" t="str">
        <x:v>manual review found inconsistent and clipped product surfaces</x:v>
      </x:c>
      <x:c r="AJ11" s="16" t="str">
        <x:v>automated browser controls passed; native semantic blocked</x:v>
      </x:c>
      <x:c r="AK11" s="16" t="str">
        <x:v>failed</x:v>
      </x:c>
      <x:c r="AL11" s="16" t="str">
        <x:v>medium</x:v>
      </x:c>
      <x:c r="AM11" s="16" t="str">
        <x:v>reviews/ios-native-audit/screenshots/029-completion-athlete-labels-fixed.png</x:v>
      </x:c>
      <x:c r="AN11" s="16" t="str">
        <x:v>Automated checks pass but the manual 71-screen review found separate defects</x:v>
      </x:c>
      <x:c r="AO11" s="16" t="str"/>
      <x:c r="AP11" s="16" t="str">
        <x:v>pending</x:v>
      </x:c>
      <x:c r="AQ11" s="16" t="str">
        <x:v>API-003 and UI-009 are fixed; visual findings are being recorded and fixed separately</x:v>
      </x:c>
    </x:row>
    <x:row r="12" ht="48" customHeight="1">
      <x:c r="A12" s="18" t="str">
        <x:v>QA-003</x:v>
      </x:c>
      <x:c r="B12" s="16" t="str">
        <x:v>STAGING-FIXTURE-LEAK</x:v>
      </x:c>
      <x:c r="C12" s="16" t="str">
        <x:v>Staging smoke artifacts in product UI</x:v>
      </x:c>
      <x:c r="D12" s="16" t="str">
        <x:v>coach parent and club admin</x:v>
      </x:c>
      <x:c r="E12" s="16" t="str">
        <x:v>13 selected flows</x:v>
      </x:c>
      <x:c r="F12" s="16" t="str">
        <x:v>Cross-role product surfaces</x:v>
      </x:c>
      <x:c r="G12" s="16" t="str">
        <x:v>loaded</x:v>
      </x:c>
      <x:c r="H12" s="16" t="str">
        <x:v>responsive browser viewport</x:v>
      </x:c>
      <x:c r="I12" s="16" t="str">
        <x:v>staging</x:v>
      </x:c>
      <x:c r="J12" s="16" t="str">
        <x:v>Role-specific direct routes</x:v>
      </x:c>
      <x:c r="K12" s="16" t="str">
        <x:v>Exact smoke markers and canonical child health state known</x:v>
      </x:c>
      <x:c r="L12" s="16" t="str">
        <x:v>2</x:v>
      </x:c>
      <x:c r="M12" s="16" t="str">
        <x:v>data contamination</x:v>
      </x:c>
      <x:c r="N12" s="16" t="str">
        <x:v>Run guarded smoke then inspect database and authenticated child-health reads</x:v>
      </x:c>
      <x:c r="O12" s="16" t="str">
        <x:v>No engineering fixtures or changed sensitive state remain after smoke</x:v>
      </x:c>
      <x:c r="P12" s="16" t="str">
        <x:v>33 of 33 smoke checks passed and authenticated child-health readback remained canonical</x:v>
      </x:c>
      <x:c r="Q12" s="16" t="str">
        <x:v>/v1/*</x:v>
      </x:c>
      <x:c r="R12" s="16" t="str">
        <x:v>All smoke requests passed</x:v>
      </x:c>
      <x:c r="S12" s="16" t="str"/>
      <x:c r="T12" s="16" t="str">
        <x:v>booking invoice group session invite squad match event payout child health</x:v>
      </x:c>
      <x:c r="U12" s="16" t="str">
        <x:v>Zero visible smoke markers and canonical medical emergency and consent state confirmed</x:v>
      </x:c>
      <x:c r="V12" s="16" t="str">
        <x:v>Direct RLS verified separately</x:v>
      </x:c>
      <x:c r="W12" s="16" t="str">
        <x:v>Smoke writes and health restoration audited</x:v>
      </x:c>
      <x:c r="X12" s="16" t="str"/>
      <x:c r="Y12" s="16" t="str"/>
      <x:c r="Z12" s="16" t="str">
        <x:v>coach parent and club admin</x:v>
      </x:c>
      <x:c r="AA12" s="16" t="str">
        <x:v>All 13 previously contaminated flows passed fixture detection</x:v>
      </x:c>
      <x:c r="AB12" s="16" t="str">
        <x:v>passed</x:v>
      </x:c>
      <x:c r="AC12" s="16" t="str">
        <x:v>passed</x:v>
      </x:c>
      <x:c r="AD12" s="16" t="str">
        <x:v>passed</x:v>
      </x:c>
      <x:c r="AE12" s="16" t="str">
        <x:v>passed</x:v>
      </x:c>
      <x:c r="AF12" s="16" t="str">
        <x:v>passed</x:v>
      </x:c>
      <x:c r="AG12" s="16" t="str">
        <x:v>not native</x:v>
      </x:c>
      <x:c r="AH12" s="16" t="str">
        <x:v>affected screens are football and family workflows</x:v>
      </x:c>
      <x:c r="AI12" s="16" t="str">
        <x:v>passed</x:v>
      </x:c>
      <x:c r="AJ12" s="16" t="str">
        <x:v>automated controls passed; native semantic blocked</x:v>
      </x:c>
      <x:c r="AK12" s="16" t="str">
        <x:v>fixed</x:v>
      </x:c>
      <x:c r="AL12" s="16" t="str">
        <x:v>medium</x:v>
      </x:c>
      <x:c r="AM12" s="16" t="str">
        <x:v>reviews/ios-native-audit/screenshots/024-fixture-leak-contact-sheet.png | reviews/ios-native-audit/screenshots/027-child-medical-restored.png</x:v>
      </x:c>
      <x:c r="AN12" s="16" t="str">
        <x:v>Staging smoke previously persisted product records and overwrote child health state</x:v>
      </x:c>
      <x:c r="AO12" s="16" t="str">
        <x:v>fix(api): restore staging after smoke tests</x:v>
      </x:c>
      <x:c r="AP12" s="16" t="str">
        <x:v>33 of 33 smoke checks and 71 of 71 fixture checks passed</x:v>
      </x:c>
      <x:c r="AQ12" s="16" t="str">
        <x:v>Exact-marker cleanup runs before and after; health restores through audited API routes; audit history is retained</x:v>
      </x:c>
    </x:row>
    <x:row r="13" ht="48" customHeight="1">
      <x:c r="A13" s="18" t="str">
        <x:v>API-003</x:v>
      </x:c>
      <x:c r="B13" s="16" t="str">
        <x:v>BOOKING-SOFT-DELETE-READ</x:v>
      </x:c>
      <x:c r="C13" s="16" t="str">
        <x:v>Soft-deleted bookings exposed by API</x:v>
      </x:c>
      <x:c r="D13" s="16" t="str">
        <x:v>coach</x:v>
      </x:c>
      <x:c r="E13" s="16" t="str">
        <x:v>/v1/bookings</x:v>
      </x:c>
      <x:c r="F13" s="16" t="str">
        <x:v>Coach development completion queue</x:v>
      </x:c>
      <x:c r="G13" s="16" t="str">
        <x:v>loaded</x:v>
      </x:c>
      <x:c r="H13" s="16" t="str">
        <x:v>responsive browser viewport</x:v>
      </x:c>
      <x:c r="I13" s="16" t="str">
        <x:v>staging</x:v>
      </x:c>
      <x:c r="J13" s="16" t="str">
        <x:v>Coach home</x:v>
      </x:c>
      <x:c r="K13" s="16" t="str">
        <x:v>Historical smoke bookings are soft-deleted</x:v>
      </x:c>
      <x:c r="L13" s="16" t="str">
        <x:v>2</x:v>
      </x:c>
      <x:c r="M13" s="16" t="str">
        <x:v>default deny</x:v>
      </x:c>
      <x:c r="N13" s="16" t="str">
        <x:v>Open coach home and compare visible completion count with active database rows then request a retired detail</x:v>
      </x:c>
      <x:c r="O13" s="16" t="str">
        <x:v>Only active bookings and active participant relationships are readable</x:v>
      </x:c>
      <x:c r="P13" s="16" t="str">
        <x:v>API returned 3 awaiting-completion items matching 3 active past rows and returned 404 for a retired detail</x:v>
      </x:c>
      <x:c r="Q13" s="16" t="str">
        <x:v>/v1/bookings</x:v>
      </x:c>
      <x:c r="R13" s="16" t="str">
        <x:v>Active list 200 and retired detail 404</x:v>
      </x:c>
      <x:c r="S13" s="16" t="str"/>
      <x:c r="T13" s="16" t="str">
        <x:v>Booking and BookingParticipant</x:v>
      </x:c>
      <x:c r="U13" s="16" t="str">
        <x:v>Soft-deleted bookings and participant relationships excluded</x:v>
      </x:c>
      <x:c r="V13" s="16" t="str">
        <x:v>Direct RLS verified separately</x:v>
      </x:c>
      <x:c r="W13" s="16" t="str"/>
      <x:c r="X13" s="16" t="str"/>
      <x:c r="Y13" s="16" t="str"/>
      <x:c r="Z13" s="16" t="str">
        <x:v>coach</x:v>
      </x:c>
      <x:c r="AA13" s="16" t="str">
        <x:v>Retired sessions no longer appear or grant participant access</x:v>
      </x:c>
      <x:c r="AB13" s="16" t="str">
        <x:v>passed</x:v>
      </x:c>
      <x:c r="AC13" s="16" t="str">
        <x:v>passed</x:v>
      </x:c>
      <x:c r="AD13" s="16" t="str">
        <x:v>passed</x:v>
      </x:c>
      <x:c r="AE13" s="16" t="str">
        <x:v>passed</x:v>
      </x:c>
      <x:c r="AF13" s="16" t="str">
        <x:v>passed</x:v>
      </x:c>
      <x:c r="AG13" s="16" t="str">
        <x:v>not native</x:v>
      </x:c>
      <x:c r="AH13" s="16" t="str">
        <x:v>booking completion is a football delivery flow</x:v>
      </x:c>
      <x:c r="AI13" s="16" t="str">
        <x:v>passed</x:v>
      </x:c>
      <x:c r="AJ13" s="16" t="str">
        <x:v>automated browser controls passed; native semantic blocked</x:v>
      </x:c>
      <x:c r="AK13" s="16" t="str">
        <x:v>fixed</x:v>
      </x:c>
      <x:c r="AL13" s="16" t="str">
        <x:v>high</x:v>
      </x:c>
      <x:c r="AM13" s="16" t="str">
        <x:v>reviews/ios-native-audit/screenshots/026-soft-deleted-bookings-visible-before.png | reviews/ios-native-audit/screenshots/028-booking-soft-delete-filtered.png</x:v>
      </x:c>
      <x:c r="AN13" s="16" t="str">
        <x:v>Soft-deleted booking and participant rows were visible through list and detail authority</x:v>
      </x:c>
      <x:c r="AO13" s="16" t="str">
        <x:v>fix(api): hide soft-deleted bookings</x:v>
      </x:c>
      <x:c r="AP13" s="16" t="str">
        <x:v>2 focused tests API typecheck live count and 11 coach-core flows passed</x:v>
      </x:c>
      <x:c r="AQ13" s="16" t="str">
        <x:v>Manual review exposed separate generic athlete copy tracked as UI-009</x:v>
      </x:c>
    </x:row>
    <x:row r="14" ht="48" customHeight="1">
      <x:c r="A14" s="18" t="str">
        <x:v>UI-009</x:v>
      </x:c>
      <x:c r="B14" s="16" t="str">
        <x:v>COMPLETION-ATHLETE-LABEL</x:v>
      </x:c>
      <x:c r="C14" s="16" t="str">
        <x:v>Generic athlete labels in completion queue</x:v>
      </x:c>
      <x:c r="D14" s="16" t="str">
        <x:v>coach</x:v>
      </x:c>
      <x:c r="E14" s="16" t="str">
        <x:v>/</x:v>
      </x:c>
      <x:c r="F14" s="16" t="str">
        <x:v>Coach development completion queue</x:v>
      </x:c>
      <x:c r="G14" s="16" t="str">
        <x:v>loaded</x:v>
      </x:c>
      <x:c r="H14" s="16" t="str">
        <x:v>responsive browser viewport</x:v>
      </x:c>
      <x:c r="I14" s="16" t="str">
        <x:v>staging</x:v>
      </x:c>
      <x:c r="J14" s="16" t="str">
        <x:v>Coach home</x:v>
      </x:c>
      <x:c r="K14" s="16" t="str">
        <x:v>Three active past bookings and roster names available</x:v>
      </x:c>
      <x:c r="L14" s="16" t="str">
        <x:v>1</x:v>
      </x:c>
      <x:c r="M14" s="16" t="str">
        <x:v>task copy</x:v>
      </x:c>
      <x:c r="N14" s="16" t="str">
        <x:v>Inspect each completion task label</x:v>
      </x:c>
      <x:c r="O14" s="16" t="str">
        <x:v>Each task identifies the linked athlete by name</x:v>
      </x:c>
      <x:c r="P14" s="16" t="str">
        <x:v>Rows lead with Alfie Barton and Maisie Barton with service and date underneath</x:v>
      </x:c>
      <x:c r="Q14" s="16" t="str">
        <x:v>/v1/bookings and /v1/coaches/:coachId/roster</x:v>
      </x:c>
      <x:c r="R14" s="16" t="str">
        <x:v>Both authorities return successfully</x:v>
      </x:c>
      <x:c r="S14" s="16" t="str"/>
      <x:c r="T14" s="16" t="str">
        <x:v>Booking BookingParticipant and roster projection</x:v>
      </x:c>
      <x:c r="U14" s="16" t="str">
        <x:v>Roster names are joined to active booking athlete IDs for display</x:v>
      </x:c>
      <x:c r="V14" s="16" t="str">
        <x:v>Direct RLS verified separately</x:v>
      </x:c>
      <x:c r="W14" s="16" t="str"/>
      <x:c r="X14" s="16" t="str"/>
      <x:c r="Y14" s="16" t="str"/>
      <x:c r="Z14" s="16" t="str">
        <x:v>coach</x:v>
      </x:c>
      <x:c r="AA14" s="16" t="str">
        <x:v>Coach can distinguish every active completion task</x:v>
      </x:c>
      <x:c r="AB14" s="16" t="str">
        <x:v>passed</x:v>
      </x:c>
      <x:c r="AC14" s="16" t="str">
        <x:v>passed</x:v>
      </x:c>
      <x:c r="AD14" s="16" t="str">
        <x:v>passed</x:v>
      </x:c>
      <x:c r="AE14" s="16" t="str">
        <x:v>passed</x:v>
      </x:c>
      <x:c r="AF14" s="16" t="str">
        <x:v>passed</x:v>
      </x:c>
      <x:c r="AG14" s="16" t="str">
        <x:v>not native</x:v>
      </x:c>
      <x:c r="AH14" s="16" t="str">
        <x:v>booking completion is a football delivery flow</x:v>
      </x:c>
      <x:c r="AI14" s="16" t="str">
        <x:v>passed</x:v>
      </x:c>
      <x:c r="AJ14" s="16" t="str">
        <x:v>automated browser controls passed; native semantic blocked</x:v>
      </x:c>
      <x:c r="AK14" s="16" t="str">
        <x:v>fixed</x:v>
      </x:c>
      <x:c r="AL14" s="16" t="str">
        <x:v>medium</x:v>
      </x:c>
      <x:c r="AM14" s="16" t="str">
        <x:v>reviews/ios-native-audit/screenshots/028-booking-soft-delete-filtered.png | reviews/ios-native-audit/screenshots/029-completion-athlete-labels-fixed.png</x:v>
      </x:c>
      <x:c r="AN14" s="16" t="str">
        <x:v>Completion tasks previously used the generic Athlete label</x:v>
      </x:c>
      <x:c r="AO14" s="16" t="str">
        <x:v>fix(coach): name completion tasks</x:v>
      </x:c>
      <x:c r="AP14" s="16" t="str">
        <x:v>source boundary typecheck lint 11 coach flows and 71 cross-role flows passed</x:v>
      </x:c>
      <x:c r="AQ14" s="16" t="str">
        <x:v>Manual review confirmed one athlete name per task with one Complete action</x:v>
      </x:c>
    </x:row>
    <x:row r="15" ht="48" customHeight="1">
      <x:c r="A15" s="18" t="str">
        <x:v>UI-010</x:v>
      </x:c>
      <x:c r="B15" s="16" t="str">
        <x:v>EMERGENCY-CONTACT-VALUE-LAYOUT</x:v>
      </x:c>
      <x:c r="C15" s="16" t="str">
        <x:v>Emergency contact value overflow</x:v>
      </x:c>
      <x:c r="D15" s="16" t="str">
        <x:v>parent and guardian</x:v>
      </x:c>
      <x:c r="E15" s="16" t="str">
        <x:v>app/child/[id]/emergency.tsx</x:v>
      </x:c>
      <x:c r="F15" s="16" t="str">
        <x:v>Emergency Contacts</x:v>
      </x:c>
      <x:c r="G15" s="16" t="str">
        <x:v>loaded</x:v>
      </x:c>
      <x:c r="H15" s="16" t="str">
        <x:v>responsive browser viewport</x:v>
      </x:c>
      <x:c r="I15" s="16" t="str">
        <x:v>staging</x:v>
      </x:c>
      <x:c r="J15" s="16" t="str">
        <x:v>Parent opens child emergency contacts</x:v>
      </x:c>
      <x:c r="K15" s="16" t="str">
        <x:v>Seeded contact has a long email address</x:v>
      </x:c>
      <x:c r="L15" s="16" t="str">
        <x:v>1</x:v>
      </x:c>
      <x:c r="M15" s="16" t="str">
        <x:v>trust critical contact</x:v>
      </x:c>
      <x:c r="N15" s="16" t="str">
        <x:v>Inspect phone and email values</x:v>
      </x:c>
      <x:c r="O15" s="16" t="str">
        <x:v>Every contact value remains fully visible inside the card</x:v>
      </x:c>
      <x:c r="P15" s="16" t="str">
        <x:v>The complete phone and email render inside the card and the email fits on one line</x:v>
      </x:c>
      <x:c r="Q15" s="16" t="str">
        <x:v>/v1/athletes/:athleteId/emergency-contacts</x:v>
      </x:c>
      <x:c r="R15" s="16" t="str">
        <x:v>Authenticated read passed</x:v>
      </x:c>
      <x:c r="S15" s="16" t="str"/>
      <x:c r="T15" s="16" t="str">
        <x:v>EmergencyContact</x:v>
      </x:c>
      <x:c r="U15" s="16" t="str">
        <x:v>Data unchanged</x:v>
      </x:c>
      <x:c r="V15" s="16" t="str">
        <x:v>Direct RLS verified separately</x:v>
      </x:c>
      <x:c r="W15" s="16" t="str">
        <x:v>Route records emergency_contacts.read; live event verification pending</x:v>
      </x:c>
      <x:c r="X15" s="16" t="str"/>
      <x:c r="Y15" s="16" t="str"/>
      <x:c r="Z15" s="16" t="str">
        <x:v>parent and guardian</x:v>
      </x:c>
      <x:c r="AA15" s="16" t="str">
        <x:v>Trust-critical contact details are readable</x:v>
      </x:c>
      <x:c r="AB15" s="16" t="str">
        <x:v>passed</x:v>
      </x:c>
      <x:c r="AC15" s="16" t="str">
        <x:v>passed</x:v>
      </x:c>
      <x:c r="AD15" s="16" t="str">
        <x:v>passed</x:v>
      </x:c>
      <x:c r="AE15" s="16" t="str">
        <x:v>passed</x:v>
      </x:c>
      <x:c r="AF15" s="16" t="str">
        <x:v>passed</x:v>
      </x:c>
      <x:c r="AG15" s="16" t="str">
        <x:v>shared React Native component; native semantic pending</x:v>
      </x:c>
      <x:c r="AH15" s="16" t="str">
        <x:v>football session safety contact</x:v>
      </x:c>
      <x:c r="AI15" s="16" t="str">
        <x:v>passed</x:v>
      </x:c>
      <x:c r="AJ15" s="16" t="str">
        <x:v>values remain selectable; native semantic blocked</x:v>
      </x:c>
      <x:c r="AK15" s="16" t="str">
        <x:v>fixed</x:v>
      </x:c>
      <x:c r="AL15" s="16" t="str">
        <x:v>high</x:v>
      </x:c>
      <x:c r="AM15" s="16" t="str">
        <x:v>reviews/ios-native-audit/screenshots/030-emergency-email-clipped-before.png | reviews/ios-native-audit/screenshots/031-emergency-email-visible-after.png</x:v>
      </x:c>
      <x:c r="AN15" s="16" t="str">
        <x:v>The contact email overflowed the card and hid the domain suffix</x:v>
      </x:c>
      <x:c r="AO15" s="16" t="str">
        <x:v>fix(family): keep emergency contact details visible</x:v>
      </x:c>
      <x:c r="AP15" s="16" t="str">
        <x:v>boundary test typecheck lint 12 parent-core flows and 390 by 844 visual check passed</x:v>
      </x:c>
      <x:c r="AQ15" s="16" t="str">
        <x:v>The layout keeps Dynamic Type wrapping available instead of truncating trust-critical data</x:v>
      </x:c>
    </x:row>
    <x:row r="16" ht="48" customHeight="1">
      <x:c r="A16" s="18" t="str">
        <x:v>UI-011</x:v>
      </x:c>
      <x:c r="B16" s="16" t="str">
        <x:v>BOOKING-CONFIRMATION-SIMPLIFICATION</x:v>
      </x:c>
      <x:c r="C16" s="16" t="str">
        <x:v>Booking confirmation copy and layout</x:v>
      </x:c>
      <x:c r="D16" s="16" t="str">
        <x:v>parent and self-booking athlete</x:v>
      </x:c>
      <x:c r="E16" s="16" t="str">
        <x:v>app/book/[coachId]/confirmation.tsx</x:v>
      </x:c>
      <x:c r="F16" s="16" t="str">
        <x:v>Confirm booking</x:v>
      </x:c>
      <x:c r="G16" s="16" t="str">
        <x:v>incomplete draft</x:v>
      </x:c>
      <x:c r="H16" s="16" t="str">
        <x:v>responsive browser viewport</x:v>
      </x:c>
      <x:c r="I16" s="16" t="str">
        <x:v>staging</x:v>
      </x:c>
      <x:c r="J16" s="16" t="str">
        <x:v>Direct step five route</x:v>
      </x:c>
      <x:c r="K16" s="16" t="str">
        <x:v>Authenticated user has no selected date or time</x:v>
      </x:c>
      <x:c r="L16" s="16" t="str">
        <x:v>5</x:v>
      </x:c>
      <x:c r="M16" s="16" t="str">
        <x:v>incomplete and pending confirmation</x:v>
      </x:c>
      <x:c r="N16" s="16" t="str">
        <x:v>Review confirmation copy layout and action state</x:v>
      </x:c>
      <x:c r="O16" s="16" t="str">
        <x:v>Use direct product language keep content scrollable do not claim confirmation early and disable an incomplete submission</x:v>
      </x:c>
      <x:c r="P16" s="16" t="str">
        <x:v>Screen shows concise payment ownership copy a disabled Confirm booking action and scrollable details; successful create copy now says Booking sent</x:v>
      </x:c>
      <x:c r="Q16" s="16" t="str">
        <x:v>/v1/bookings</x:v>
      </x:c>
      <x:c r="R16" s="16" t="str">
        <x:v>No create request for the incomplete draft</x:v>
      </x:c>
      <x:c r="S16" s="16" t="str"/>
      <x:c r="T16" s="16" t="str">
        <x:v>Booking</x:v>
      </x:c>
      <x:c r="U16" s="16" t="str">
        <x:v>No write attempted</x:v>
      </x:c>
      <x:c r="V16" s="16" t="str">
        <x:v>Not applicable without a write</x:v>
      </x:c>
      <x:c r="W16" s="16" t="str">
        <x:v>No booking audit event expected without a write</x:v>
      </x:c>
      <x:c r="X16" s="16" t="str"/>
      <x:c r="Y16" s="16" t="str"/>
      <x:c r="Z16" s="16" t="str">
        <x:v>parent and self-booking athlete</x:v>
      </x:c>
      <x:c r="AA16" s="16" t="str">
        <x:v>Booking state and payment ownership are explicit</x:v>
      </x:c>
      <x:c r="AB16" s="16" t="str">
        <x:v>passed</x:v>
      </x:c>
      <x:c r="AC16" s="16" t="str">
        <x:v>passed</x:v>
      </x:c>
      <x:c r="AD16" s="16" t="str">
        <x:v>passed</x:v>
      </x:c>
      <x:c r="AE16" s="16" t="str">
        <x:v>passed</x:v>
      </x:c>
      <x:c r="AF16" s="16" t="str">
        <x:v>passed</x:v>
      </x:c>
      <x:c r="AG16" s="16" t="str">
        <x:v>shared React Native screen; native interaction pending</x:v>
      </x:c>
      <x:c r="AH16" s="16" t="str">
        <x:v>football coaching booking</x:v>
      </x:c>
      <x:c r="AI16" s="16" t="str">
        <x:v>passed</x:v>
      </x:c>
      <x:c r="AJ16" s="16" t="str">
        <x:v>disabled state remains explicit; native semantic blocked</x:v>
      </x:c>
      <x:c r="AK16" s="16" t="str">
        <x:v>fixed</x:v>
      </x:c>
      <x:c r="AL16" s="16" t="str">
        <x:v>high</x:v>
      </x:c>
      <x:c r="AM16" s="16" t="str">
        <x:v>reviews/ios-native-audit/screenshots/032-booking-confirmation-before.png | reviews/ios-native-audit/screenshots/033-booking-confirmation-after.png</x:v>
      </x:c>
      <x:c r="AN16" s="16" t="str">
        <x:v>The screen explained the live API claimed confirmation before coach acceptance and let long copy run under the footer</x:v>
      </x:c>
      <x:c r="AO16" s="16" t="str">
        <x:v>fix(booking): simplify confirmation screen</x:v>
      </x:c>
      <x:c r="AP16" s="16" t="str">
        <x:v>11 focused assertions typecheck lint and 22 parent flows passed</x:v>
      </x:c>
      <x:c r="AQ16" s="16" t="str">
        <x:v>Successful staging create and coach confirmation remain scheduled for guarded end-to-end write proof</x:v>
      </x:c>
    </x:row>
    <x:row r="17" ht="48" customHeight="1">
      <x:c r="A17" s="18" t="str">
        <x:v>UI-012</x:v>
      </x:c>
      <x:c r="B17" s="16" t="str">
        <x:v>SETTINGS-HUB-SIMPLIFICATION</x:v>
      </x:c>
      <x:c r="C17" s="16" t="str">
        <x:v>Settings identity and copy simplification</x:v>
      </x:c>
      <x:c r="D17" s="16" t="str">
        <x:v>coach parent and athlete</x:v>
      </x:c>
      <x:c r="E17" s="16" t="str">
        <x:v>app/settings/index.tsx</x:v>
      </x:c>
      <x:c r="F17" s="16" t="str">
        <x:v>Settings</x:v>
      </x:c>
      <x:c r="G17" s="16" t="str">
        <x:v>loaded</x:v>
      </x:c>
      <x:c r="H17" s="16" t="str">
        <x:v>responsive browser viewport</x:v>
      </x:c>
      <x:c r="I17" s="16" t="str">
        <x:v>staging</x:v>
      </x:c>
      <x:c r="J17" s="16" t="str">
        <x:v>Open Settings from each role</x:v>
      </x:c>
      <x:c r="K17" s="16" t="str">
        <x:v>Authenticated role account has a long staging email</x:v>
      </x:c>
      <x:c r="L17" s="16" t="str">
        <x:v>1</x:v>
      </x:c>
      <x:c r="M17" s="16" t="str">
        <x:v>shared identity and task copy</x:v>
      </x:c>
      <x:c r="N17" s="16" t="str">
        <x:v>Inspect the account card and every visible task label</x:v>
      </x:c>
      <x:c r="O17" s="16" t="str">
        <x:v>Keep the full account identity visible and use direct customer language</x:v>
      </x:c>
      <x:c r="P17" s="16" t="str">
        <x:v>Complete coach parent and athlete emails render on one line and visible rows use short outcome labels</x:v>
      </x:c>
      <x:c r="Q17" s="16" t="str">
        <x:v>/v1/me</x:v>
      </x:c>
      <x:c r="R17" s="16" t="str">
        <x:v>Authenticated profile read passed</x:v>
      </x:c>
      <x:c r="S17" s="16" t="str"/>
      <x:c r="T17" s="16" t="str">
        <x:v>User</x:v>
      </x:c>
      <x:c r="U17" s="16" t="str">
        <x:v>Data unchanged</x:v>
      </x:c>
      <x:c r="V17" s="16" t="str">
        <x:v>Direct RLS verified separately</x:v>
      </x:c>
      <x:c r="W17" s="16" t="str"/>
      <x:c r="X17" s="16" t="str"/>
      <x:c r="Y17" s="16" t="str"/>
      <x:c r="Z17" s="16" t="str">
        <x:v>coach parent and athlete</x:v>
      </x:c>
      <x:c r="AA17" s="16" t="str">
        <x:v>Every role sees a legible identity and direct settings tasks</x:v>
      </x:c>
      <x:c r="AB17" s="16" t="str">
        <x:v>passed</x:v>
      </x:c>
      <x:c r="AC17" s="16" t="str">
        <x:v>passed</x:v>
      </x:c>
      <x:c r="AD17" s="16" t="str">
        <x:v>passed</x:v>
      </x:c>
      <x:c r="AE17" s="16" t="str">
        <x:v>passed</x:v>
      </x:c>
      <x:c r="AF17" s="16" t="str">
        <x:v>passed</x:v>
      </x:c>
      <x:c r="AG17" s="16" t="str">
        <x:v>shared React Native screen; native interaction pending</x:v>
      </x:c>
      <x:c r="AH17" s="16" t="str">
        <x:v>account settings support football participation</x:v>
      </x:c>
      <x:c r="AI17" s="16" t="str">
        <x:v>passed</x:v>
      </x:c>
      <x:c r="AJ17" s="16" t="str">
        <x:v>email accessibility label retains the full value; native semantic blocked</x:v>
      </x:c>
      <x:c r="AK17" s="16" t="str">
        <x:v>fixed</x:v>
      </x:c>
      <x:c r="AL17" s="16" t="str">
        <x:v>medium</x:v>
      </x:c>
      <x:c r="AM17" s="16" t="str">
        <x:v>reviews/ios-native-audit/screenshots/034-settings-email-wrap-before.png | reviews/ios-native-audit/screenshots/035-settings-hub-after.png</x:v>
      </x:c>
      <x:c r="AN17" s="16" t="str">
        <x:v>The identity card broke email domains across lines and settings used internal build and lifecycle wording</x:v>
      </x:c>
      <x:c r="AO17" s="16" t="str">
        <x:v>fix(settings): simplify role-safe account hub</x:v>
      </x:c>
      <x:c r="AP17" s="16" t="str">
        <x:v>boundary test typecheck lint 30 shared core flows and final 19 parent athlete flows passed</x:v>
      </x:c>
      <x:c r="AQ17" s="16" t="str">
        <x:v>React Native may shrink the email to preserve one line while screen readers retain the full address</x:v>
      </x:c>
    </x:row>
    <x:row r="18" ht="48" customHeight="1">
      <x:c r="A18" s="18" t="str">
        <x:v>UI-013</x:v>
      </x:c>
      <x:c r="B18" s="16" t="str">
        <x:v>SETTINGS-PARENT-CAPABILITY</x:v>
      </x:c>
      <x:c r="C18" s="16" t="str">
        <x:v>Parent-only Children action exposed to athlete</x:v>
      </x:c>
      <x:c r="D18" s="16" t="str">
        <x:v>athlete and parent</x:v>
      </x:c>
      <x:c r="E18" s="16" t="str">
        <x:v>app/settings/index.tsx</x:v>
      </x:c>
      <x:c r="F18" s="16" t="str">
        <x:v>Settings</x:v>
      </x:c>
      <x:c r="G18" s="16" t="str">
        <x:v>athlete-only account</x:v>
      </x:c>
      <x:c r="H18" s="16" t="str">
        <x:v>responsive browser viewport</x:v>
      </x:c>
      <x:c r="I18" s="16" t="str">
        <x:v>staging</x:v>
      </x:c>
      <x:c r="J18" s="16" t="str">
        <x:v>Athlete opens Settings</x:v>
      </x:c>
      <x:c r="K18" s="16" t="str">
        <x:v>Athlete account has no parent capability</x:v>
      </x:c>
      <x:c r="L18" s="16" t="str">
        <x:v>2</x:v>
      </x:c>
      <x:c r="M18" s="16" t="str">
        <x:v>role visibility</x:v>
      </x:c>
      <x:c r="N18" s="16" t="str">
        <x:v>Inspect visible account actions</x:v>
      </x:c>
      <x:c r="O18" s="16" t="str">
        <x:v>Show Children only to an actual parent or guardian</x:v>
      </x:c>
      <x:c r="P18" s="16" t="str">
        <x:v>Athlete no longer sees Children while the parent account retains it</x:v>
      </x:c>
      <x:c r="Q18" s="16" t="str"/>
      <x:c r="R18" s="16" t="str">
        <x:v>No child request from athlete settings</x:v>
      </x:c>
      <x:c r="S18" s="16" t="str"/>
      <x:c r="T18" s="16" t="str">
        <x:v>family relationship</x:v>
      </x:c>
      <x:c r="U18" s="16" t="str">
        <x:v>No change</x:v>
      </x:c>
      <x:c r="V18" s="16" t="str">
        <x:v>Default deny at UI capability boundary</x:v>
      </x:c>
      <x:c r="W18" s="16" t="str"/>
      <x:c r="X18" s="16" t="str"/>
      <x:c r="Y18" s="16" t="str"/>
      <x:c r="Z18" s="16" t="str">
        <x:v>athlete and parent</x:v>
      </x:c>
      <x:c r="AA18" s="16" t="str">
        <x:v>Athlete loses the dead parent action and parent keeps family access</x:v>
      </x:c>
      <x:c r="AB18" s="16" t="str">
        <x:v>passed</x:v>
      </x:c>
      <x:c r="AC18" s="16" t="str">
        <x:v>passed</x:v>
      </x:c>
      <x:c r="AD18" s="16" t="str">
        <x:v>passed</x:v>
      </x:c>
      <x:c r="AE18" s="16" t="str">
        <x:v>passed</x:v>
      </x:c>
      <x:c r="AF18" s="16" t="str">
        <x:v>passed</x:v>
      </x:c>
      <x:c r="AG18" s="16" t="str">
        <x:v>shared React Native screen; native interaction pending</x:v>
      </x:c>
      <x:c r="AH18" s="16" t="str">
        <x:v>role-safe family and football account settings</x:v>
      </x:c>
      <x:c r="AI18" s="16" t="str">
        <x:v>passed</x:v>
      </x:c>
      <x:c r="AJ18" s="16" t="str">
        <x:v>action removed from athlete accessibility order; native semantic blocked</x:v>
      </x:c>
      <x:c r="AK18" s="16" t="str">
        <x:v>fixed</x:v>
      </x:c>
      <x:c r="AL18" s="16" t="str">
        <x:v>high</x:v>
      </x:c>
      <x:c r="AM18" s="16" t="str">
        <x:v>reviews/ios-native-audit/screenshots/036-athlete-children-action-before.png | reviews/ios-native-audit/screenshots/037-athlete-children-action-removed.png</x:v>
      </x:c>
      <x:c r="AN18" s="16" t="str">
        <x:v>The screen inferred parent access from not being a coach instead of using the existing parent capability</x:v>
      </x:c>
      <x:c r="AO18" s="16" t="str">
        <x:v>fix(settings): simplify role-safe account hub</x:v>
      </x:c>
      <x:c r="AP18" s="16" t="str">
        <x:v>boundary test typecheck lint and final 19 parent athlete flows passed</x:v>
      </x:c>
      <x:c r="AQ18" s="16" t="str">
        <x:v>This removes a dead control and does not widen backend family authority</x:v>
      </x:c>
    </x:row>
    <x:row r="19" ht="48" customHeight="1">
      <x:c r="A19" s="18" t="str">
        <x:v>UI-014</x:v>
      </x:c>
      <x:c r="B19" s="16" t="str">
        <x:v>ATHLETE-LINKED-IDENTITY</x:v>
      </x:c>
      <x:c r="C19" s="16" t="str">
        <x:v>Athlete self profile identity</x:v>
      </x:c>
      <x:c r="D19" s="16" t="str">
        <x:v>athlete</x:v>
      </x:c>
      <x:c r="E19" s="16" t="str">
        <x:v>/development/my-progress</x:v>
      </x:c>
      <x:c r="F19" s="16" t="str">
        <x:v>My Progress and shared self-subject flows</x:v>
      </x:c>
      <x:c r="G19" s="16" t="str">
        <x:v>authenticated linked athlete</x:v>
      </x:c>
      <x:c r="H19" s="16" t="str">
        <x:v>iPhone 16 Pro and responsive browser viewport</x:v>
      </x:c>
      <x:c r="I19" s="16" t="str">
        <x:v>staging</x:v>
      </x:c>
      <x:c r="J19" s="16" t="str">
        <x:v>Athlete login then My Progress</x:v>
      </x:c>
      <x:c r="K19" s="16" t="str">
        <x:v>User ID and linked Athlete ID intentionally differ</x:v>
      </x:c>
      <x:c r="L19" s="16" t="str">
        <x:v>1</x:v>
      </x:c>
      <x:c r="M19" s="16" t="str">
        <x:v>identity and cross-role</x:v>
      </x:c>
      <x:c r="N19" s="16" t="str">
        <x:v>Open self progress home health media bookings and group registration</x:v>
      </x:c>
      <x:c r="O19" s="16" t="str">
        <x:v>Every athlete-scoped request uses canonical Athlete.id while actor writes retain User.id</x:v>
      </x:c>
      <x:c r="P19" s="16" t="str">
        <x:v>Auth profile returns the linked athlete ID; refreshed My Progress requests use it and render Alfie Barton with sessions feedback goal and badge</x:v>
      </x:c>
      <x:c r="Q19" s="16" t="str">
        <x:v>/v1/auth/me and /v1/athletes/:athleteId/*</x:v>
      </x:c>
      <x:c r="R19" s="16" t="str">
        <x:v>HTTP 200; zero post-refresh requests to the derived phantom athlete ID</x:v>
      </x:c>
      <x:c r="S19" s="16" t="str"/>
      <x:c r="T19" s="16" t="str">
        <x:v>User Athlete SessionFeedback AthleteBadge Goal BookingParticipant</x:v>
      </x:c>
      <x:c r="U19" s="16" t="str">
        <x:v>Athlete.userId resolves the exact athlete entity; the real profile holds feedback goals badges and bookings</x:v>
      </x:c>
      <x:c r="V19" s="16" t="str">
        <x:v>Direct RLS preflight passed; backend authz allowed athlete self</x:v>
      </x:c>
      <x:c r="W19" s="16" t="str">
        <x:v>auth.login SUCCESS; progress-read audit verification pending</x:v>
      </x:c>
      <x:c r="X19" s="16" t="str"/>
      <x:c r="Y19" s="16" t="str">
        <x:v>Sentry query unavailable in current task</x:v>
      </x:c>
      <x:c r="Z19" s="16" t="str">
        <x:v>athlete parent and coach</x:v>
      </x:c>
      <x:c r="AA19" s="16" t="str">
        <x:v>Athlete self now agrees with the athlete entity already used by parent and coach views</x:v>
      </x:c>
      <x:c r="AB19" s="16" t="str">
        <x:v>passed</x:v>
      </x:c>
      <x:c r="AC19" s="16" t="str">
        <x:v>passed</x:v>
      </x:c>
      <x:c r="AD19" s="16" t="str">
        <x:v>passed</x:v>
      </x:c>
      <x:c r="AE19" s="16" t="str">
        <x:v>passed</x:v>
      </x:c>
      <x:c r="AF19" s="16" t="str">
        <x:v>passed</x:v>
      </x:c>
      <x:c r="AG19" s="16" t="str">
        <x:v>Shared React Native code; live browser passed; native interaction blocked by DevToolsSecurity</x:v>
      </x:c>
      <x:c r="AH19" s="16" t="str">
        <x:v>football development identity</x:v>
      </x:c>
      <x:c r="AI19" s="16" t="str">
        <x:v>passed</x:v>
      </x:c>
      <x:c r="AJ19" s="16" t="str">
        <x:v>Browser accessibility snapshot passed; native semantics blocked</x:v>
      </x:c>
      <x:c r="AK19" s="16" t="str">
        <x:v>fixed</x:v>
      </x:c>
      <x:c r="AL19" s="16" t="str">
        <x:v>high</x:v>
      </x:c>
      <x:c r="AM19" s="16" t="str">
        <x:v>reviews/ios-native-audit/screenshots/038-linked-athlete-progress-fixed.png | reviews/ios-native-audit/screenshots/039-linked-athlete-native-retest-blocked.png</x:v>
      </x:c>
      <x:c r="AN19" s="16" t="str">
        <x:v>The app invented an athlete ID by swapping the usr_ prefix for ath_ and queried an empty phantom profile</x:v>
      </x:c>
      <x:c r="AO19" s="16" t="str">
        <x:v>fix(identity): use linked athlete profile</x:v>
      </x:c>
      <x:c r="AP19" s="16" t="str">
        <x:v>live API and browser passed; native interaction blocked</x:v>
      </x:c>
      <x:c r="AQ19" s="16" t="str">
        <x:v>The auth profile now carries the canonical Athlete.userId link; signed-in user ID remains the actor for writes and audit events</x:v>
      </x:c>
    </x:row>
    <x:row r="20" ht="48" customHeight="1">
      <x:c r="A20" s="18" t="str">
        <x:v>UI-015</x:v>
      </x:c>
      <x:c r="B20" s="16" t="str">
        <x:v>CONNECTIVITY-STATUS-AUTHORITY</x:v>
      </x:c>
      <x:c r="C20" s="16" t="str">
        <x:v>Connectivity banner state and layout</x:v>
      </x:c>
      <x:c r="D20" s="16" t="str">
        <x:v>all authenticated users</x:v>
      </x:c>
      <x:c r="E20" s="16" t="str">
        <x:v>app/_layout.tsx</x:v>
      </x:c>
      <x:c r="F20" s="16" t="str">
        <x:v>OfflineBanner</x:v>
      </x:c>
      <x:c r="G20" s="16" t="str">
        <x:v>online offline and reconnected</x:v>
      </x:c>
      <x:c r="H20" s="16" t="str">
        <x:v>iPhone 16 Pro and responsive browser viewport</x:v>
      </x:c>
      <x:c r="I20" s="16" t="str">
        <x:v>staging</x:v>
      </x:c>
      <x:c r="J20" s="16" t="str">
        <x:v>Athlete login then connectivity toggle</x:v>
      </x:c>
      <x:c r="K20" s="16" t="str">
        <x:v>Authenticated home fully loaded</x:v>
      </x:c>
      <x:c r="L20" s="16" t="str">
        <x:v>1</x:v>
      </x:c>
      <x:c r="M20" s="16" t="str">
        <x:v>connectivity and accessibility</x:v>
      </x:c>
      <x:c r="N20" s="16" t="str">
        <x:v>Reload online then force offline and restore online</x:v>
      </x:c>
      <x:c r="O20" s="16" t="str">
        <x:v>No banner online; one clear banner offline; content never obscured; API mode does not promise queued writes</x:v>
      </x:c>
      <x:c r="P20" s="16" t="str">
        <x:v>Online renders no banner; offline pushes content down and says check connection; recovery removes the alert</x:v>
      </x:c>
      <x:c r="Q20" s="16" t="str">
        <x:v>/v1/*</x:v>
      </x:c>
      <x:c r="R20" s="16" t="str">
        <x:v>All pre-toggle reads 200; expected request failures only while browser was deliberately offline</x:v>
      </x:c>
      <x:c r="S20" s="16" t="str"/>
      <x:c r="T20" s="16" t="str"/>
      <x:c r="U20" s="16" t="str">
        <x:v>No writes</x:v>
      </x:c>
      <x:c r="V20" s="16" t="str">
        <x:v>Not applicable</x:v>
      </x:c>
      <x:c r="W20" s="16" t="str">
        <x:v>No audit event expected for local connectivity state</x:v>
      </x:c>
      <x:c r="X20" s="16" t="str"/>
      <x:c r="Y20" s="16" t="str">
        <x:v>No application exception; Sentry query unavailable</x:v>
      </x:c>
      <x:c r="Z20" s="16" t="str">
        <x:v>all authenticated roles</x:v>
      </x:c>
      <x:c r="AA20" s="16" t="str">
        <x:v>Shared root behavior is consistent across roles</x:v>
      </x:c>
      <x:c r="AB20" s="16" t="str">
        <x:v>passed</x:v>
      </x:c>
      <x:c r="AC20" s="16" t="str">
        <x:v>not applicable</x:v>
      </x:c>
      <x:c r="AD20" s="16" t="str">
        <x:v>passed</x:v>
      </x:c>
      <x:c r="AE20" s="16" t="str">
        <x:v>passed</x:v>
      </x:c>
      <x:c r="AF20" s="16" t="str">
        <x:v>passed</x:v>
      </x:c>
      <x:c r="AG20" s="16" t="str">
        <x:v>Shared React Native root; browser transition passed; native interaction blocked by DevToolsSecurity</x:v>
      </x:c>
      <x:c r="AH20" s="16" t="str">
        <x:v>not applicable</x:v>
      </x:c>
      <x:c r="AI20" s="16" t="str">
        <x:v>passed</x:v>
      </x:c>
      <x:c r="AJ20" s="16" t="str">
        <x:v>Inactive alert is unmounted; offline alert uses a polite live region; native semantics blocked</x:v>
      </x:c>
      <x:c r="AK20" s="16" t="str">
        <x:v>fixed</x:v>
      </x:c>
      <x:c r="AL20" s="16" t="str">
        <x:v>medium</x:v>
      </x:c>
      <x:c r="AM20" s="16" t="str">
        <x:v>reviews/ios-native-audit/screenshots/040-offline-banner-api-copy.png | reviews/ios-native-audit/screenshots/041-online-banner-hidden.png</x:v>
      </x:c>
      <x:c r="AN20" s="16" t="str">
        <x:v>A stale startup fetch could override healthy connectivity; the absolute animated banner covered the header and API copy falsely promised queued sync</x:v>
      </x:c>
      <x:c r="AO20" s="16" t="str">
        <x:v>fix(ui): make offline state authoritative</x:v>
      </x:c>
      <x:c r="AP20" s="16" t="str">
        <x:v>online offline and recovery browser states passed; native interaction blocked</x:v>
      </x:c>
      <x:c r="AQ20" s="16" t="str">
        <x:v>Web uses navigator connectivity while native retains NetInfo; the banner has one state source and occupies layout space</x:v>
      </x:c>
    </x:row>
    <x:row r="21" ht="48" customHeight="1">
      <x:c r="A21" s="18" t="str">
        <x:v>UI-016</x:v>
      </x:c>
      <x:c r="B21" s="16" t="str">
        <x:v>DEVELOPMENT-FEEDBACK-VISIBILITY</x:v>
      </x:c>
      <x:c r="C21" s="16" t="str">
        <x:v>Athlete development feedback authorization</x:v>
      </x:c>
      <x:c r="D21" s="16" t="str">
        <x:v>athlete parent and assigned coach</x:v>
      </x:c>
      <x:c r="E21" s="16" t="str">
        <x:v>/development/athlete/:athleteId</x:v>
      </x:c>
      <x:c r="F21" s="16" t="str">
        <x:v>Athlete Progress</x:v>
      </x:c>
      <x:c r="G21" s="16" t="str">
        <x:v>linked cross-role read</x:v>
      </x:c>
      <x:c r="H21" s="16" t="str">
        <x:v>iPhone 16 Pro and responsive browser viewport</x:v>
      </x:c>
      <x:c r="I21" s="16" t="str">
        <x:v>staging</x:v>
      </x:c>
      <x:c r="J21" s="16" t="str">
        <x:v>Direct development route after role login</x:v>
      </x:c>
      <x:c r="K21" s="16" t="str">
        <x:v>Linked athlete with guardian assigned coach and session feedback</x:v>
      </x:c>
      <x:c r="L21" s="16" t="str">
        <x:v>1</x:v>
      </x:c>
      <x:c r="M21" s="16" t="str">
        <x:v>authorization and control visibility</x:v>
      </x:c>
      <x:c r="N21" s="16" t="str">
        <x:v>Request coach visibility as parent and athlete then open the screen in all three roles</x:v>
      </x:c>
      <x:c r="O21" s="16" t="str">
        <x:v>The server derives feedback visibility from authenticated authority; only a guardian can edit the family-owned position field</x:v>
      </x:c>
      <x:c r="P21" s="16" t="str">
        <x:v>Parent and athlete requests for viewerRole=coach were audited at their effective roles with no private notes; parent alone saw Edit while athlete and coach saw read-only position</x:v>
      </x:c>
      <x:c r="Q21" s="16" t="str">
        <x:v>/v1/athletes/:athleteId/session-feedback and /v1/session-feedback</x:v>
      </x:c>
      <x:c r="R21" s="16" t="str">
        <x:v>HTTP 200 for authorized reads; parent and athlete forced-coach queries returned no private notes; assigned-coach positive control retained private notes</x:v>
      </x:c>
      <x:c r="S21" s="16" t="str">
        <x:v>Live request IDs matched persisted audit rows during the run</x:v>
      </x:c>
      <x:c r="T21" s="16" t="str">
        <x:v>User Athlete SessionFeedback AuditEvent GuardianChildLink Booking BookingParticipant</x:v>
      </x:c>
      <x:c r="U21" s="16" t="str">
        <x:v>Staging feedback and role relationships read successfully; no destructive data mutation</x:v>
      </x:c>
      <x:c r="V21" s="16" t="str">
        <x:v>Direct RLS preflight passed; API authorization remained the external boundary</x:v>
      </x:c>
      <x:c r="W21" s="16" t="str">
        <x:v>session_feedback.read SUCCESS with requestedViewerRole=coach and effective viewerRole=parent or athlete</x:v>
      </x:c>
      <x:c r="X21" s="16" t="str"/>
      <x:c r="Y21" s="16" t="str">
        <x:v>Sentry query unavailable in current task</x:v>
      </x:c>
      <x:c r="Z21" s="16" t="str">
        <x:v>athlete parent and assigned coach</x:v>
      </x:c>
      <x:c r="AA21" s="16" t="str">
        <x:v>Athlete and parent cannot elevate feedback visibility; coach retains assigned private access; only parent sees the profile edit control</x:v>
      </x:c>
      <x:c r="AB21" s="16" t="str">
        <x:v>passed</x:v>
      </x:c>
      <x:c r="AC21" s="16" t="str">
        <x:v>passed</x:v>
      </x:c>
      <x:c r="AD21" s="16" t="str">
        <x:v>passed</x:v>
      </x:c>
      <x:c r="AE21" s="16" t="str">
        <x:v>passed</x:v>
      </x:c>
      <x:c r="AF21" s="16" t="str">
        <x:v>passed</x:v>
      </x:c>
      <x:c r="AG21" s="16" t="str">
        <x:v>Shared React Native screen; responsive runtime passed; native role interaction remains blocked by host DevToolsSecurity</x:v>
      </x:c>
      <x:c r="AH21" s="16" t="str">
        <x:v>football development feedback</x:v>
      </x:c>
      <x:c r="AI21" s="16" t="str">
        <x:v>passed</x:v>
      </x:c>
      <x:c r="AJ21" s="16" t="str">
        <x:v>Edit control has an outcome label and is absent when the actor cannot complete it</x:v>
      </x:c>
      <x:c r="AK21" s="16" t="str">
        <x:v>fixed</x:v>
      </x:c>
      <x:c r="AL21" s="16" t="str">
        <x:v>high</x:v>
      </x:c>
      <x:c r="AM21" s="16" t="str">
        <x:v>reviews/ios-native-audit/screenshots/042-parent-development-authorized-controls.png | reviews/ios-native-audit/screenshots/043-athlete-development-read-only.png | reviews/ios-native-audit/screenshots/044-coach-development-read-only.png</x:v>
      </x:c>
      <x:c r="AN21" s="16" t="str">
        <x:v>The API trusted a caller-controlled viewerRole and could return coach-private notes to an authorized parent or athlete; athlete and coach also saw a family profile edit control that the API correctly rejected</x:v>
      </x:c>
      <x:c r="AO21" s="16" t="str">
        <x:v>fix(security): derive development visibility from authority</x:v>
      </x:c>
      <x:c r="AP21" s="16" t="str">
        <x:v>API test covered coach parent athlete and outsider; live staging API audit and three-role responsive UI passed; native interaction blocked</x:v>
      </x:c>
      <x:c r="AQ21" s="16" t="str">
        <x:v>The client now requests its real role and preserves API accountType; the API independently derives effective visibility and records requested versus effective role</x:v>
      </x:c>
    </x:row>
    <x:row r="22" ht="48" customHeight="1">
      <x:c r="A22" s="18" t="str">
        <x:v>UI-008</x:v>
      </x:c>
      <x:c r="B22" s="16" t="str">
        <x:v>CHILD-PROFILE-FIELD-FORMAT</x:v>
      </x:c>
      <x:c r="C22" s="16" t="str">
        <x:v>Parent child profile field presentation</x:v>
      </x:c>
      <x:c r="D22" s="16" t="str">
        <x:v>parent</x:v>
      </x:c>
      <x:c r="E22" s="16" t="str">
        <x:v>app/development/child-progress/[childId].tsx</x:v>
      </x:c>
      <x:c r="F22" s="16" t="str">
        <x:v>Child Progress profile tab</x:v>
      </x:c>
      <x:c r="G22" s="16" t="str">
        <x:v>loaded</x:v>
      </x:c>
      <x:c r="H22" s="16" t="str">
        <x:v>responsive browser viewport</x:v>
      </x:c>
      <x:c r="I22" s="16" t="str">
        <x:v>staging</x:v>
      </x:c>
      <x:c r="J22" s="16" t="str">
        <x:v>Parent opens child progress</x:v>
      </x:c>
      <x:c r="K22" s="16" t="str">
        <x:v>Linked child profile loaded from API</x:v>
      </x:c>
      <x:c r="L22" s="16" t="str">
        <x:v>1</x:v>
      </x:c>
      <x:c r="M22" s="16" t="str">
        <x:v>profile</x:v>
      </x:c>
      <x:c r="N22" s="16" t="str">
        <x:v>Inspect date of birth and relationship</x:v>
      </x:c>
      <x:c r="O22" s="16" t="str">
        <x:v>Human-readable date and relationship label</x:v>
      </x:c>
      <x:c r="P22" s="16" t="str">
        <x:v>Date of birth renders as 18 Feb 2014 and relationship as Other instead of an ISO timestamp and enum</x:v>
      </x:c>
      <x:c r="Q22" s="16" t="str">
        <x:v>/v1/athletes/:athleteId</x:v>
      </x:c>
      <x:c r="R22" s="16" t="str">
        <x:v>pass</x:v>
      </x:c>
      <x:c r="S22" s="16" t="str"/>
      <x:c r="T22" s="16" t="str">
        <x:v>athlete and guardian child link</x:v>
      </x:c>
      <x:c r="U22" s="16" t="str">
        <x:v>unchanged</x:v>
      </x:c>
      <x:c r="V22" s="16" t="str">
        <x:v>unchanged</x:v>
      </x:c>
      <x:c r="W22" s="16" t="str"/>
      <x:c r="X22" s="16" t="str"/>
      <x:c r="Y22" s="16" t="str"/>
      <x:c r="Z22" s="16" t="str">
        <x:v>parent</x:v>
      </x:c>
      <x:c r="AA22" s="16" t="str">
        <x:v>Parent sees readable profile facts</x:v>
      </x:c>
      <x:c r="AB22" s="16" t="str">
        <x:v>passed</x:v>
      </x:c>
      <x:c r="AC22" s="16" t="str">
        <x:v>passed</x:v>
      </x:c>
      <x:c r="AD22" s="16" t="str">
        <x:v>passed after fix</x:v>
      </x:c>
      <x:c r="AE22" s="16" t="str">
        <x:v>passed after fix</x:v>
      </x:c>
      <x:c r="AF22" s="16" t="str">
        <x:v>passed</x:v>
      </x:c>
      <x:c r="AG22" s="16" t="str">
        <x:v>shared code; native interaction pending</x:v>
      </x:c>
      <x:c r="AH22" s="16" t="str">
        <x:v>football and child safety context retained</x:v>
      </x:c>
      <x:c r="AI22" s="16" t="str">
        <x:v>passed</x:v>
      </x:c>
      <x:c r="AJ22" s="16" t="str">
        <x:v>automated controls passed; native semantic blocked</x:v>
      </x:c>
      <x:c r="AK22" s="16" t="str">
        <x:v>fixed</x:v>
      </x:c>
      <x:c r="AL22" s="16" t="str">
        <x:v>medium</x:v>
      </x:c>
      <x:c r="AM22" s="16" t="str">
        <x:v>reviews/ios-native-audit/screenshots/025-child-profile-fields-formatted.png</x:v>
      </x:c>
      <x:c r="AN22" s="16" t="str">
        <x:v>Child profile rendered a raw ISO date and backend relationship enum</x:v>
      </x:c>
      <x:c r="AO22" s="16" t="str">
        <x:v>fix(family): format child profile fields</x:v>
      </x:c>
      <x:c r="AP22" s="16" t="str">
        <x:v>field-format retest passed; fixture contamination remains open</x:v>
      </x:c>
      <x:c r="AQ22" s="16" t="str">
        <x:v>The remaining raw timestamp detector is inside smoke-contaminated medical values and belongs to QA-003; React Doctor scored 96 with the pre-existing large-component warning deferred</x:v>
      </x:c>
    </x:row>
    <x:row r="23" ht="48" customHeight="1">
      <x:c r="A23" s="18" t="str">
        <x:v>API-002</x:v>
      </x:c>
      <x:c r="B23" s="16" t="str">
        <x:v>STAGING-SMOKE-TARGET-GUARD</x:v>
      </x:c>
      <x:c r="C23" s="16" t="str">
        <x:v>Staging smoke production guard</x:v>
      </x:c>
      <x:c r="D23" s="16" t="str">
        <x:v>system</x:v>
      </x:c>
      <x:c r="E23" s="16" t="str">
        <x:v>apps/api/scripts/staging-smoke.ts</x:v>
      </x:c>
      <x:c r="F23" s="16" t="str">
        <x:v>Staging smoke runner</x:v>
      </x:c>
      <x:c r="G23" s="16" t="str">
        <x:v>startup</x:v>
      </x:c>
      <x:c r="H23" s="16" t="str">
        <x:v>local process</x:v>
      </x:c>
      <x:c r="I23" s="16" t="str">
        <x:v>all targets</x:v>
      </x:c>
      <x:c r="J23" s="16" t="str">
        <x:v>npm run smoke:staging</x:v>
      </x:c>
      <x:c r="K23" s="16" t="str">
        <x:v>Environment file may be overridden by existing process variables</x:v>
      </x:c>
      <x:c r="L23" s="16" t="str">
        <x:v>1</x:v>
      </x:c>
      <x:c r="M23" s="16" t="str">
        <x:v>fail closed</x:v>
      </x:c>
      <x:c r="N23" s="16" t="str">
        <x:v>Start smoke with a production target or production-looking database URL</x:v>
      </x:c>
      <x:c r="O23" s="16" t="str">
        <x:v>Abort before application startup or database access</x:v>
      </x:c>
      <x:c r="P23" s="16" t="str">
        <x:v>Runner validates staging target production hints and database URL before building the API</x:v>
      </x:c>
      <x:c r="Q23" s="16" t="str">
        <x:v>startup guard</x:v>
      </x:c>
      <x:c r="R23" s="16" t="str">
        <x:v>production overrides rejected before request handling</x:v>
      </x:c>
      <x:c r="S23" s="16" t="str"/>
      <x:c r="T23" s="16" t="str">
        <x:v>database connection</x:v>
      </x:c>
      <x:c r="U23" s="16" t="str">
        <x:v>not opened on rejected target</x:v>
      </x:c>
      <x:c r="V23" s="16" t="str">
        <x:v>not applicable</x:v>
      </x:c>
      <x:c r="W23" s="16" t="str"/>
      <x:c r="X23" s="16" t="str"/>
      <x:c r="Y23" s="16" t="str"/>
      <x:c r="Z23" s="16" t="str">
        <x:v>all</x:v>
      </x:c>
      <x:c r="AA23" s="16" t="str">
        <x:v>Production-target runs stop before writes</x:v>
      </x:c>
      <x:c r="AB23" s="16" t="str">
        <x:v>not applicable</x:v>
      </x:c>
      <x:c r="AC23" s="16" t="str">
        <x:v>not applicable</x:v>
      </x:c>
      <x:c r="AD23" s="16" t="str">
        <x:v>not applicable</x:v>
      </x:c>
      <x:c r="AE23" s="16" t="str">
        <x:v>not applicable</x:v>
      </x:c>
      <x:c r="AF23" s="16" t="str">
        <x:v>not applicable</x:v>
      </x:c>
      <x:c r="AG23" s="16" t="str">
        <x:v>not applicable</x:v>
      </x:c>
      <x:c r="AH23" s="16" t="str">
        <x:v>not applicable</x:v>
      </x:c>
      <x:c r="AI23" s="16" t="str">
        <x:v>not applicable</x:v>
      </x:c>
      <x:c r="AJ23" s="16" t="str">
        <x:v>not applicable</x:v>
      </x:c>
      <x:c r="AK23" s="16" t="str">
        <x:v>fixed</x:v>
      </x:c>
      <x:c r="AL23" s="16" t="str">
        <x:v>high</x:v>
      </x:c>
      <x:c r="AM23" s="16" t="str">
        <x:v>apps/api/scripts/staging-smoke.ts | docs/architecture/runtime-modes.md</x:v>
      </x:c>
      <x:c r="AN23" s="16" t="str">
        <x:v>The staging write-smoke runner trusted an existing DATABASE_URL without asserting a staging target</x:v>
      </x:c>
      <x:c r="AO23" s="16" t="str">
        <x:v>fix(api): guard staging smoke target</x:v>
      </x:c>
      <x:c r="AP23" s="16" t="str">
        <x:v>production target and production-looking URL rejected; API typecheck passed</x:v>
      </x:c>
      <x:c r="AQ23" s="16" t="str">
        <x:v>NODE_ENV=production remains allowed because staging intentionally exercises release behavior</x:v>
      </x:c>
    </x:row>
    <x:row r="24" ht="48" customHeight="1">
      <x:c r="A24" s="18" t="str">
        <x:v>QA-001</x:v>
      </x:c>
      <x:c r="B24" s="16" t="str">
        <x:v>ATHLETE-CHAT-LIST-AUDIT</x:v>
      </x:c>
      <x:c r="C24" s="16" t="str">
        <x:v>Chat list browser audit route</x:v>
      </x:c>
      <x:c r="D24" s="16" t="str">
        <x:v>athlete</x:v>
      </x:c>
      <x:c r="E24" s="16" t="str">
        <x:v>/chat</x:v>
      </x:c>
      <x:c r="F24" s="16" t="str">
        <x:v>Messages</x:v>
      </x:c>
      <x:c r="G24" s="16" t="str">
        <x:v>authenticated athlete</x:v>
      </x:c>
      <x:c r="H24" s="16" t="str">
        <x:v>responsive browser viewport</x:v>
      </x:c>
      <x:c r="I24" s="16" t="str">
        <x:v>staging</x:v>
      </x:c>
      <x:c r="J24" s="16" t="str">
        <x:v>Automated role flow</x:v>
      </x:c>
      <x:c r="K24" s="16" t="str">
        <x:v>Athlete credentials and local web bundle loaded</x:v>
      </x:c>
      <x:c r="L24" s="16" t="str">
        <x:v>1</x:v>
      </x:c>
      <x:c r="M24" s="16" t="str">
        <x:v>route alias</x:v>
      </x:c>
      <x:c r="N24" s="16" t="str">
        <x:v>Open the athlete chat list</x:v>
      </x:c>
      <x:c r="O24" s="16" t="str">
        <x:v>The public chat alias redirects to the Messages tab</x:v>
      </x:c>
      <x:c r="P24" s="16" t="str">
        <x:v>The runner now opens /chat and lands on /messages instead of treating index as a thread ID</x:v>
      </x:c>
      <x:c r="Q24" s="16" t="str"/>
      <x:c r="R24" s="16" t="str">
        <x:v>no failed requests</x:v>
      </x:c>
      <x:c r="S24" s="16" t="str"/>
      <x:c r="T24" s="16" t="str"/>
      <x:c r="U24" s="16" t="str"/>
      <x:c r="V24" s="16" t="str"/>
      <x:c r="W24" s="16" t="str"/>
      <x:c r="X24" s="16" t="str"/>
      <x:c r="Y24" s="16" t="str"/>
      <x:c r="Z24" s="16" t="str">
        <x:v>athlete</x:v>
      </x:c>
      <x:c r="AA24" s="16" t="str">
        <x:v>Athlete reaches the real message list</x:v>
      </x:c>
      <x:c r="AB24" s="16" t="str">
        <x:v>passed</x:v>
      </x:c>
      <x:c r="AC24" s="16" t="str">
        <x:v>passed</x:v>
      </x:c>
      <x:c r="AD24" s="16" t="str">
        <x:v>passed after fix</x:v>
      </x:c>
      <x:c r="AE24" s="16" t="str">
        <x:v>passed after fix</x:v>
      </x:c>
      <x:c r="AF24" s="16" t="str">
        <x:v>passed</x:v>
      </x:c>
      <x:c r="AG24" s="16" t="str">
        <x:v>shared route; native interaction pending</x:v>
      </x:c>
      <x:c r="AH24" s="16" t="str">
        <x:v>not applicable</x:v>
      </x:c>
      <x:c r="AI24" s="16" t="str">
        <x:v>passed</x:v>
      </x:c>
      <x:c r="AJ24" s="16" t="str">
        <x:v>browser controls passed; native semantic blocked</x:v>
      </x:c>
      <x:c r="AK24" s="16" t="str">
        <x:v>fixed</x:v>
      </x:c>
      <x:c r="AL24" s="16" t="str">
        <x:v>medium</x:v>
      </x:c>
      <x:c r="AM24" s="16" t="str">
        <x:v>reviews/ios-native-audit/screenshots/013-athlete-chat-audit-route-before.png | reviews/ios-native-audit/screenshots/014-athlete-chat-audit-route-after.png</x:v>
      </x:c>
      <x:c r="AN24" s="16" t="str">
        <x:v>The audit runner opened /chat/index; Expo Router treated index as a thread ID and the runner marked the visible error clean</x:v>
      </x:c>
      <x:c r="AO24" s="16" t="str">
        <x:v>fix(audit): use public chat list route</x:v>
      </x:c>
      <x:c r="AP24" s="16" t="str">
        <x:v>13 athlete flows passed with fail-on medium</x:v>
      </x:c>
      <x:c r="AQ24" s="16" t="str">
        <x:v>The runner now also fails any happy-path flow that renders the shared Something went wrong state</x:v>
      </x:c>
    </x:row>
    <x:row r="25" ht="48" customHeight="1">
      <x:c r="A25" s="18" t="str">
        <x:v>UI-004</x:v>
      </x:c>
      <x:c r="B25" s="16" t="str">
        <x:v>ATHLETE-PROGRESS-AVATAR</x:v>
      </x:c>
      <x:c r="C25" s="16" t="str">
        <x:v>Athlete progress identity layout</x:v>
      </x:c>
      <x:c r="D25" s="16" t="str">
        <x:v>athlete and shared avatar users</x:v>
      </x:c>
      <x:c r="E25" s="16" t="str">
        <x:v>/development/athlete/:athleteId</x:v>
      </x:c>
      <x:c r="F25" s="16" t="str">
        <x:v>Athlete Progress</x:v>
      </x:c>
      <x:c r="G25" s="16" t="str">
        <x:v>loaded profile</x:v>
      </x:c>
      <x:c r="H25" s="16" t="str">
        <x:v>responsive browser viewport</x:v>
      </x:c>
      <x:c r="I25" s="16" t="str">
        <x:v>staging</x:v>
      </x:c>
      <x:c r="J25" s="16" t="str">
        <x:v>Seeded athlete role flow</x:v>
      </x:c>
      <x:c r="K25" s="16" t="str">
        <x:v>Child profile has a placeholder photo URL</x:v>
      </x:c>
      <x:c r="L25" s="16" t="str">
        <x:v>1</x:v>
      </x:c>
      <x:c r="M25" s="16" t="str">
        <x:v>profile header</x:v>
      </x:c>
      <x:c r="N25" s="16" t="str">
        <x:v>Render the athlete identity</x:v>
      </x:c>
      <x:c r="O25" s="16" t="str">
        <x:v>Show a photo or initials without obscuring the athlete name</x:v>
      </x:c>
      <x:c r="P25" s="16" t="str">
        <x:v>The shared Avatar renders initials for the known placeholder host and the hero no longer prints a URL as text</x:v>
      </x:c>
      <x:c r="Q25" s="16" t="str">
        <x:v>https://cdn.clubroom.demo/*</x:v>
      </x:c>
      <x:c r="R25" s="16" t="str">
        <x:v>no request after fix</x:v>
      </x:c>
      <x:c r="S25" s="16" t="str"/>
      <x:c r="T25" s="16" t="str"/>
      <x:c r="U25" s="16" t="str"/>
      <x:c r="V25" s="16" t="str"/>
      <x:c r="W25" s="16" t="str"/>
      <x:c r="X25" s="16" t="str"/>
      <x:c r="Y25" s="16" t="str"/>
      <x:c r="Z25" s="16" t="str">
        <x:v>athlete and shared avatar users</x:v>
      </x:c>
      <x:c r="AA25" s="16" t="str">
        <x:v>Identity remains legible and placeholder media does not trigger network failures</x:v>
      </x:c>
      <x:c r="AB25" s="16" t="str">
        <x:v>passed</x:v>
      </x:c>
      <x:c r="AC25" s="16" t="str">
        <x:v>passed</x:v>
      </x:c>
      <x:c r="AD25" s="16" t="str">
        <x:v>passed after fix</x:v>
      </x:c>
      <x:c r="AE25" s="16" t="str">
        <x:v>passed after fix</x:v>
      </x:c>
      <x:c r="AF25" s="16" t="str">
        <x:v>passed</x:v>
      </x:c>
      <x:c r="AG25" s="16" t="str">
        <x:v>shared native component; native interaction pending</x:v>
      </x:c>
      <x:c r="AH25" s="16" t="str">
        <x:v>passed</x:v>
      </x:c>
      <x:c r="AI25" s="16" t="str">
        <x:v>passed</x:v>
      </x:c>
      <x:c r="AJ25" s="16" t="str">
        <x:v>image accessibility label preserved; native semantic blocked</x:v>
      </x:c>
      <x:c r="AK25" s="16" t="str">
        <x:v>fixed</x:v>
      </x:c>
      <x:c r="AL25" s="16" t="str">
        <x:v>high</x:v>
      </x:c>
      <x:c r="AM25" s="16" t="str">
        <x:v>reviews/ios-native-audit/screenshots/015-athlete-progress-avatar-before.png | reviews/ios-native-audit/screenshots/016-athlete-progress-avatar-after.png</x:v>
      </x:c>
      <x:c r="AN25" s="16" t="str">
        <x:v>A placeholder photo URL was rendered as avatar text and then fetched from a non-resolving host when image rendering was corrected</x:v>
      </x:c>
      <x:c r="AO25" s="16" t="str">
        <x:v>fix(ui): render safe athlete avatars</x:v>
      </x:c>
      <x:c r="AP25" s="16" t="str">
        <x:v>2 URL tests file lint changed-file review and 13 athlete flows passed</x:v>
      </x:c>
      <x:c r="AQ25" s="16" t="str">
        <x:v>Repo typecheck was blocked by unrelated concurrent coach-profile edits</x:v>
      </x:c>
    </x:row>
    <x:row r="26" ht="48" customHeight="1">
      <x:c r="A26" s="18" t="str">
        <x:v>UI-005</x:v>
      </x:c>
      <x:c r="B26" s="16" t="str">
        <x:v>BOOKING-CALENDAR-DATE-LAYOUT</x:v>
      </x:c>
      <x:c r="C26" s="16" t="str">
        <x:v>Booking calendar date strip</x:v>
      </x:c>
      <x:c r="D26" s="16" t="str">
        <x:v>parent and self-booking athlete</x:v>
      </x:c>
      <x:c r="E26" s="16" t="str">
        <x:v>/book/:coachId/schedule</x:v>
      </x:c>
      <x:c r="F26" s="16" t="str">
        <x:v>Choose date and time</x:v>
      </x:c>
      <x:c r="G26" s="16" t="str">
        <x:v>no date selected</x:v>
      </x:c>
      <x:c r="H26" s="16" t="str">
        <x:v>responsive browser viewport</x:v>
      </x:c>
      <x:c r="I26" s="16" t="str">
        <x:v>staging</x:v>
      </x:c>
      <x:c r="J26" s="16" t="str">
        <x:v>Seeded parent booking flow</x:v>
      </x:c>
      <x:c r="K26" s="16" t="str">
        <x:v>Coach offering and availability loaded</x:v>
      </x:c>
      <x:c r="L26" s="16" t="str">
        <x:v>2</x:v>
      </x:c>
      <x:c r="M26" s="16" t="str">
        <x:v>booking schedule</x:v>
      </x:c>
      <x:c r="N26" s="16" t="str">
        <x:v>Choose a date</x:v>
      </x:c>
      <x:c r="O26" s="16" t="str">
        <x:v>Dates remain legible and compact at phone width</x:v>
      </x:c>
      <x:c r="P26" s="16" t="str">
        <x:v>Four fixed-width date controls render in a horizontal strip with no character wrapping</x:v>
      </x:c>
      <x:c r="Q26" s="16" t="str"/>
      <x:c r="R26" s="16" t="str">
        <x:v>no failed requests</x:v>
      </x:c>
      <x:c r="S26" s="16" t="str"/>
      <x:c r="T26" s="16" t="str"/>
      <x:c r="U26" s="16" t="str"/>
      <x:c r="V26" s="16" t="str"/>
      <x:c r="W26" s="16" t="str"/>
      <x:c r="X26" s="16" t="str"/>
      <x:c r="Y26" s="16" t="str"/>
      <x:c r="Z26" s="16" t="str">
        <x:v>parent and self-booking athlete</x:v>
      </x:c>
      <x:c r="AA26" s="16" t="str">
        <x:v>Booking date controls are readable and expose selected disabled and availability state</x:v>
      </x:c>
      <x:c r="AB26" s="16" t="str">
        <x:v>passed</x:v>
      </x:c>
      <x:c r="AC26" s="16" t="str">
        <x:v>passed</x:v>
      </x:c>
      <x:c r="AD26" s="16" t="str">
        <x:v>passed after fix</x:v>
      </x:c>
      <x:c r="AE26" s="16" t="str">
        <x:v>passed after fix</x:v>
      </x:c>
      <x:c r="AF26" s="16" t="str">
        <x:v>passed</x:v>
      </x:c>
      <x:c r="AG26" s="16" t="str">
        <x:v>shared React Native component; native interaction pending</x:v>
      </x:c>
      <x:c r="AH26" s="16" t="str">
        <x:v>passed</x:v>
      </x:c>
      <x:c r="AI26" s="16" t="str">
        <x:v>passed</x:v>
      </x:c>
      <x:c r="AJ26" s="16" t="str">
        <x:v>explicit accessible labels and state; native semantic blocked</x:v>
      </x:c>
      <x:c r="AK26" s="16" t="str">
        <x:v>fixed</x:v>
      </x:c>
      <x:c r="AL26" s="16" t="str">
        <x:v>high</x:v>
      </x:c>
      <x:c r="AM26" s="16" t="str">
        <x:v>reviews/ios-native-audit/screenshots/017-booking-calendar-before.png | reviews/ios-native-audit/screenshots/018-booking-calendar-after.png</x:v>
      </x:c>
      <x:c r="AN26" s="16" t="str">
        <x:v>Percent-width date cards wrapped weekday labels one character per line and made the calendar several screens tall</x:v>
      </x:c>
      <x:c r="AO26" s="16" t="str">
        <x:v>fix(booking): make date choices legible</x:v>
      </x:c>
      <x:c r="AP26" s="16" t="str">
        <x:v>Typecheck file lint and 22 parent flows passed with fail-on medium</x:v>
      </x:c>
      <x:c r="AQ26" s="16" t="str">
        <x:v>Horizontal gesture and VoiceOver order remain native-test pending</x:v>
      </x:c>
    </x:row>
    <x:row r="27" ht="48" customHeight="1">
      <x:c r="A27" s="18" t="str">
        <x:v>UI-006</x:v>
      </x:c>
      <x:c r="B27" s="16" t="str">
        <x:v>FAMILY-OVERVIEW-SIMPLIFICATION</x:v>
      </x:c>
      <x:c r="C27" s="16" t="str">
        <x:v>Family overview copy and hierarchy</x:v>
      </x:c>
      <x:c r="D27" s="16" t="str">
        <x:v>parent and guardian</x:v>
      </x:c>
      <x:c r="E27" s="16" t="str">
        <x:v>/family</x:v>
      </x:c>
      <x:c r="F27" s="16" t="str">
        <x:v>Family</x:v>
      </x:c>
      <x:c r="G27" s="16" t="str">
        <x:v>loaded overview</x:v>
      </x:c>
      <x:c r="H27" s="16" t="str">
        <x:v>responsive browser viewport</x:v>
      </x:c>
      <x:c r="I27" s="16" t="str">
        <x:v>staging</x:v>
      </x:c>
      <x:c r="J27" s="16" t="str">
        <x:v>Seeded parent role flow</x:v>
      </x:c>
      <x:c r="K27" s="16" t="str">
        <x:v>Authenticated family member</x:v>
      </x:c>
      <x:c r="L27" s="16" t="str">
        <x:v>1</x:v>
      </x:c>
      <x:c r="M27" s="16" t="str">
        <x:v>overview</x:v>
      </x:c>
      <x:c r="N27" s="16" t="str">
        <x:v>Choose a family task</x:v>
      </x:c>
      <x:c r="O27" s="16" t="str">
        <x:v>Show direct task labels and the required privacy boundary without product rationale</x:v>
      </x:c>
      <x:c r="P27" s="16" t="str">
        <x:v>Removed the promotional hero animation redundant subtitle architecture language and decorative CTA icon; shortened action and privacy copy</x:v>
      </x:c>
      <x:c r="Q27" s="16" t="str"/>
      <x:c r="R27" s="16" t="str">
        <x:v>no failed requests</x:v>
      </x:c>
      <x:c r="S27" s="16" t="str"/>
      <x:c r="T27" s="16" t="str"/>
      <x:c r="U27" s="16" t="str"/>
      <x:c r="V27" s="16" t="str"/>
      <x:c r="W27" s="16" t="str"/>
      <x:c r="X27" s="16" t="str"/>
      <x:c r="Y27" s="16" t="str"/>
      <x:c r="Z27" s="16" t="str">
        <x:v>parent and guardian</x:v>
      </x:c>
      <x:c r="AA27" s="16" t="str">
        <x:v>Family tasks remain available with less copy and clearer trust language</x:v>
      </x:c>
      <x:c r="AB27" s="16" t="str">
        <x:v>passed</x:v>
      </x:c>
      <x:c r="AC27" s="16" t="str">
        <x:v>passed</x:v>
      </x:c>
      <x:c r="AD27" s="16" t="str">
        <x:v>passed after fix</x:v>
      </x:c>
      <x:c r="AE27" s="16" t="str">
        <x:v>passed after fix</x:v>
      </x:c>
      <x:c r="AF27" s="16" t="str">
        <x:v>passed</x:v>
      </x:c>
      <x:c r="AG27" s="16" t="str">
        <x:v>shared React Native screen; native interaction pending</x:v>
      </x:c>
      <x:c r="AH27" s="16" t="str">
        <x:v>passed</x:v>
      </x:c>
      <x:c r="AI27" s="16" t="str">
        <x:v>passed</x:v>
      </x:c>
      <x:c r="AJ27" s="16" t="str">
        <x:v>action labels retained; native semantic blocked</x:v>
      </x:c>
      <x:c r="AK27" s="16" t="str">
        <x:v>fixed</x:v>
      </x:c>
      <x:c r="AL27" s="16" t="str">
        <x:v>medium</x:v>
      </x:c>
      <x:c r="AM27" s="16" t="str">
        <x:v>reviews/ios-native-audit/screenshots/019-family-overview-before.png | reviews/ios-native-audit/screenshots/020-family-overview-after.png</x:v>
      </x:c>
      <x:c r="AN27" s="16" t="str">
        <x:v>The screen explained its information architecture to families and used an animated hero before the real tasks</x:v>
      </x:c>
      <x:c r="AO27" s="16" t="str">
        <x:v>fix(family): simplify the family overview</x:v>
      </x:c>
      <x:c r="AP27" s="16" t="str">
        <x:v>Typecheck file lint React Doctor 100 and 12 parent-core flows passed</x:v>
      </x:c>
      <x:c r="AQ27" s="16" t="str">
        <x:v>Privacy copy keeps assignment-based visibility explicit</x:v>
      </x:c>
    </x:row>
    <x:row r="28" ht="48" customHeight="1">
      <x:c r="A28" s="18" t="str">
        <x:v>QA-002</x:v>
      </x:c>
      <x:c r="B28" s="16" t="str">
        <x:v>OWNER-OVERSIGHT-ROLE</x:v>
      </x:c>
      <x:c r="C28" s="16" t="str">
        <x:v>Owner oversight audit identity</x:v>
      </x:c>
      <x:c r="D28" s="16" t="str">
        <x:v>club owner and admin</x:v>
      </x:c>
      <x:c r="E28" s="16" t="str">
        <x:v>/manage/head-coach?clubId=:clubId</x:v>
      </x:c>
      <x:c r="F28" s="16" t="str">
        <x:v>Coach oversight</x:v>
      </x:c>
      <x:c r="G28" s="16" t="str">
        <x:v>authorised club admin</x:v>
      </x:c>
      <x:c r="H28" s="16" t="str">
        <x:v>responsive browser viewport</x:v>
      </x:c>
      <x:c r="I28" s="16" t="str">
        <x:v>staging</x:v>
      </x:c>
      <x:c r="J28" s="16" t="str">
        <x:v>Automated cross-role flow</x:v>
      </x:c>
      <x:c r="K28" s="16" t="str">
        <x:v>Seeded owner account and club available</x:v>
      </x:c>
      <x:c r="L28" s="16" t="str">
        <x:v>1</x:v>
      </x:c>
      <x:c r="M28" s="16" t="str">
        <x:v>cross-role authority</x:v>
      </x:c>
      <x:c r="N28" s="16" t="str">
        <x:v>Open owner oversight</x:v>
      </x:c>
      <x:c r="O28" s="16" t="str">
        <x:v>Exercise the authorised owner path and load club-scoped data</x:v>
      </x:c>
      <x:c r="P28" s="16" t="str">
        <x:v>The flow now uses the admin account and explicit club context instead of a normal coach account</x:v>
      </x:c>
      <x:c r="Q28" s="16" t="str">
        <x:v>/v1/clubs/:clubId/head-coach/oversight</x:v>
      </x:c>
      <x:c r="R28" s="16" t="str">
        <x:v>200</x:v>
      </x:c>
      <x:c r="S28" s="16" t="str"/>
      <x:c r="T28" s="16" t="str"/>
      <x:c r="U28" s="16" t="str"/>
      <x:c r="V28" s="16" t="str"/>
      <x:c r="W28" s="16" t="str"/>
      <x:c r="X28" s="16" t="str"/>
      <x:c r="Y28" s="16" t="str"/>
      <x:c r="Z28" s="16" t="str">
        <x:v>club owner admin and head coach</x:v>
      </x:c>
      <x:c r="AA28" s="16" t="str">
        <x:v>Authorised role loads the oversight data; normal coach remains default denied</x:v>
      </x:c>
      <x:c r="AB28" s="16" t="str">
        <x:v>passed</x:v>
      </x:c>
      <x:c r="AC28" s="16" t="str">
        <x:v>passed</x:v>
      </x:c>
      <x:c r="AD28" s="16" t="str">
        <x:v>passed after fix</x:v>
      </x:c>
      <x:c r="AE28" s="16" t="str">
        <x:v>passed after fix</x:v>
      </x:c>
      <x:c r="AF28" s="16" t="str">
        <x:v>passed</x:v>
      </x:c>
      <x:c r="AG28" s="16" t="str">
        <x:v>shared route; native interaction pending</x:v>
      </x:c>
      <x:c r="AH28" s="16" t="str">
        <x:v>passed</x:v>
      </x:c>
      <x:c r="AI28" s="16" t="str">
        <x:v>passed</x:v>
      </x:c>
      <x:c r="AJ28" s="16" t="str">
        <x:v>browser route and role assertion passed; native semantic blocked</x:v>
      </x:c>
      <x:c r="AK28" s="16" t="str">
        <x:v>fixed</x:v>
      </x:c>
      <x:c r="AL28" s="16" t="str">
        <x:v>high</x:v>
      </x:c>
      <x:c r="AM28" s="16" t="str">
        <x:v>reviews/ios-native-audit/screenshots/021-oversight-wrong-role-before.png | reviews/ios-native-audit/screenshots/022-oversight-admin-before.png</x:v>
      </x:c>
      <x:c r="AN28" s="16" t="str">
        <x:v>The flow was named owner but logged in as a normal coach and only proved the empty denied state</x:v>
      </x:c>
      <x:c r="AO28" s="16" t="str">
        <x:v>fix(oversight): audit the authorised owner view</x:v>
      </x:c>
      <x:c r="AP28" s="16" t="str">
        <x:v>2 admin flows passed with fail-on medium</x:v>
      </x:c>
      <x:c r="AQ28" s="16" t="str">
        <x:v>No destructive oversight actions executed</x:v>
      </x:c>
    </x:row>
    <x:row r="29" ht="48" customHeight="1">
      <x:c r="A29" s="18" t="str">
        <x:v>UI-007</x:v>
      </x:c>
      <x:c r="B29" s="16" t="str">
        <x:v>OWNER-OVERSIGHT-SIMPLIFICATION</x:v>
      </x:c>
      <x:c r="C29" s="16" t="str">
        <x:v>Coach oversight hierarchy and copy</x:v>
      </x:c>
      <x:c r="D29" s="16" t="str">
        <x:v>club owner admin and head coach</x:v>
      </x:c>
      <x:c r="E29" s="16" t="str">
        <x:v>/manage/head-coach?clubId=:clubId</x:v>
      </x:c>
      <x:c r="F29" s="16" t="str">
        <x:v>Coach oversight</x:v>
      </x:c>
      <x:c r="G29" s="16" t="str">
        <x:v>loaded full-club scope</x:v>
      </x:c>
      <x:c r="H29" s="16" t="str">
        <x:v>responsive browser viewport</x:v>
      </x:c>
      <x:c r="I29" s="16" t="str">
        <x:v>staging</x:v>
      </x:c>
      <x:c r="J29" s="16" t="str">
        <x:v>Seeded owner role flow</x:v>
      </x:c>
      <x:c r="K29" s="16" t="str">
        <x:v>Authorised club oversight membership</x:v>
      </x:c>
      <x:c r="L29" s="16" t="str">
        <x:v>1</x:v>
      </x:c>
      <x:c r="M29" s="16" t="str">
        <x:v>overview</x:v>
      </x:c>
      <x:c r="N29" s="16" t="str">
        <x:v>Review club delivery</x:v>
      </x:c>
      <x:c r="O29" s="16" t="str">
        <x:v>Show club context and key metrics without internal implementation language</x:v>
      </x:c>
      <x:c r="P29" s="16" t="str">
        <x:v>Shortened the header and scope; removed org-global runtime-surface and product wording; metrics now form a stable two-by-two grid</x:v>
      </x:c>
      <x:c r="Q29" s="16" t="str">
        <x:v>/v1/clubs/:clubId/head-coach/oversight</x:v>
      </x:c>
      <x:c r="R29" s="16" t="str">
        <x:v>200</x:v>
      </x:c>
      <x:c r="S29" s="16" t="str"/>
      <x:c r="T29" s="16" t="str"/>
      <x:c r="U29" s="16" t="str"/>
      <x:c r="V29" s="16" t="str"/>
      <x:c r="W29" s="16" t="str"/>
      <x:c r="X29" s="16" t="str"/>
      <x:c r="Y29" s="16" t="str"/>
      <x:c r="Z29" s="16" t="str">
        <x:v>club owner admin and head coach</x:v>
      </x:c>
      <x:c r="AA29" s="16" t="str">
        <x:v>Oversight remains club-scoped and operational controls are unchanged</x:v>
      </x:c>
      <x:c r="AB29" s="16" t="str">
        <x:v>passed</x:v>
      </x:c>
      <x:c r="AC29" s="16" t="str">
        <x:v>passed</x:v>
      </x:c>
      <x:c r="AD29" s="16" t="str">
        <x:v>passed after fix</x:v>
      </x:c>
      <x:c r="AE29" s="16" t="str">
        <x:v>passed after fix</x:v>
      </x:c>
      <x:c r="AF29" s="16" t="str">
        <x:v>passed</x:v>
      </x:c>
      <x:c r="AG29" s="16" t="str">
        <x:v>shared React Native screen; native interaction pending</x:v>
      </x:c>
      <x:c r="AH29" s="16" t="str">
        <x:v>passed</x:v>
      </x:c>
      <x:c r="AI29" s="16" t="str">
        <x:v>passed</x:v>
      </x:c>
      <x:c r="AJ29" s="16" t="str">
        <x:v>existing accessible controls retained; native semantic blocked</x:v>
      </x:c>
      <x:c r="AK29" s="16" t="str">
        <x:v>fixed</x:v>
      </x:c>
      <x:c r="AL29" s="16" t="str">
        <x:v>medium</x:v>
      </x:c>
      <x:c r="AM29" s="16" t="str">
        <x:v>reviews/ios-native-audit/screenshots/022-oversight-admin-before.png | reviews/ios-native-audit/screenshots/023-oversight-admin-after.png</x:v>
      </x:c>
      <x:c r="AN29" s="16" t="str">
        <x:v>The authorised screen used internal scope language oversized context cards and unstable metric widths</x:v>
      </x:c>
      <x:c r="AO29" s="16" t="str">
        <x:v>fix(oversight): audit the authorised owner view</x:v>
      </x:c>
      <x:c r="AP29" s="16" t="str">
        <x:v>Typecheck file lint and 2 admin flows passed with fail-on medium</x:v>
      </x:c>
      <x:c r="AQ29" s="16" t="str">
        <x:v>React Doctor still flags the pre-existing screen size for later component extraction</x:v>
      </x:c>
    </x:row>
    <x:row r="30" ht="48" customHeight="1">
      <x:c r="A30" s="18" t="str">
        <x:v>UI-002</x:v>
      </x:c>
      <x:c r="B30" s="16" t="str">
        <x:v>COACH-SESSION-INVITES-NESTED-ACTION</x:v>
      </x:c>
      <x:c r="C30" s="16" t="str">
        <x:v>Session invite card actions</x:v>
      </x:c>
      <x:c r="D30" s="16" t="str">
        <x:v>coach and invite recipients</x:v>
      </x:c>
      <x:c r="E30" s="16" t="str">
        <x:v>/session-invites</x:v>
      </x:c>
      <x:c r="F30" s="16" t="str">
        <x:v>Session invites</x:v>
      </x:c>
      <x:c r="G30" s="16" t="str">
        <x:v>cards with inline actions</x:v>
      </x:c>
      <x:c r="H30" s="16" t="str">
        <x:v>responsive browser viewport</x:v>
      </x:c>
      <x:c r="I30" s="16" t="str">
        <x:v>staging</x:v>
      </x:c>
      <x:c r="J30" s="16" t="str">
        <x:v>Seeded coach login</x:v>
      </x:c>
      <x:c r="K30" s="16" t="str">
        <x:v>Sent and received invites exist</x:v>
      </x:c>
      <x:c r="L30" s="16" t="str">
        <x:v>1</x:v>
      </x:c>
      <x:c r="M30" s="16" t="str">
        <x:v>interactive card</x:v>
      </x:c>
      <x:c r="N30" s="16" t="str">
        <x:v>Open details or use inline invite action</x:v>
      </x:c>
      <x:c r="O30" s="16" t="str">
        <x:v>Each intent is a valid independent control</x:v>
      </x:c>
      <x:c r="P30" s="16" t="str">
        <x:v>Card is non-interactive; its header opens details and inline actions are sibling controls</x:v>
      </x:c>
      <x:c r="Q30" s="16" t="str"/>
      <x:c r="R30" s="16" t="str"/>
      <x:c r="S30" s="16" t="str"/>
      <x:c r="T30" s="16" t="str"/>
      <x:c r="U30" s="16" t="str"/>
      <x:c r="V30" s="16" t="str"/>
      <x:c r="W30" s="16" t="str"/>
      <x:c r="X30" s="16" t="str"/>
      <x:c r="Y30" s="16" t="str"/>
      <x:c r="Z30" s="16" t="str">
        <x:v>coach and invite recipients</x:v>
      </x:c>
      <x:c r="AA30" s="16" t="str">
        <x:v>Details and inline actions remain available without nested buttons</x:v>
      </x:c>
      <x:c r="AB30" s="16" t="str">
        <x:v>passed</x:v>
      </x:c>
      <x:c r="AC30" s="16" t="str">
        <x:v>passed</x:v>
      </x:c>
      <x:c r="AD30" s="16" t="str">
        <x:v>passed</x:v>
      </x:c>
      <x:c r="AE30" s="16" t="str">
        <x:v>review needed</x:v>
      </x:c>
      <x:c r="AF30" s="16" t="str">
        <x:v>passed</x:v>
      </x:c>
      <x:c r="AG30" s="16" t="str">
        <x:v>shared code; native interaction pending</x:v>
      </x:c>
      <x:c r="AH30" s="16" t="str">
        <x:v>passed</x:v>
      </x:c>
      <x:c r="AI30" s="16" t="str">
        <x:v>passed</x:v>
      </x:c>
      <x:c r="AJ30" s="16" t="str">
        <x:v>static and browser pass</x:v>
      </x:c>
      <x:c r="AK30" s="16" t="str">
        <x:v>fixed</x:v>
      </x:c>
      <x:c r="AL30" s="16" t="str">
        <x:v>medium</x:v>
      </x:c>
      <x:c r="AM30" s="16" t="str">
        <x:v>reviews/ios-native-audit/screenshots/009-session-invites-nested-before.png | reviews/ios-native-audit/screenshots/010-session-invites-controls-fixed.png</x:v>
      </x:c>
      <x:c r="AN30" s="16" t="str">
        <x:v>Interactive SurfaceCard contained nested Clickable buttons</x:v>
      </x:c>
      <x:c r="AO30" s="16" t="str">
        <x:v>fix(invites): separate card and inline actions</x:v>
      </x:c>
      <x:c r="AP30" s="16" t="str">
        <x:v>source boundary and browser flow passed; native pending</x:v>
      </x:c>
      <x:c r="AQ30" s="16" t="str">
        <x:v>Browser metric nestedButtons is now zero</x:v>
      </x:c>
    </x:row>
    <x:row r="31" ht="48" customHeight="1">
      <x:c r="A31" s="18" t="str">
        <x:v>AUTHZ-001</x:v>
      </x:c>
      <x:c r="B31" s="16" t="str">
        <x:v>COACH-CLUB-SETTINGS-READONLY</x:v>
      </x:c>
      <x:c r="C31" s="16" t="str">
        <x:v>Read-only club settings data boundary</x:v>
      </x:c>
      <x:c r="D31" s="16" t="str">
        <x:v>coach</x:v>
      </x:c>
      <x:c r="E31" s="16" t="str">
        <x:v>/club/settings</x:v>
      </x:c>
      <x:c r="F31" s="16" t="str">
        <x:v>Club settings</x:v>
      </x:c>
      <x:c r="G31" s="16" t="str">
        <x:v>non-manager membership</x:v>
      </x:c>
      <x:c r="H31" s="16" t="str">
        <x:v>responsive browser viewport</x:v>
      </x:c>
      <x:c r="I31" s="16" t="str">
        <x:v>staging</x:v>
      </x:c>
      <x:c r="J31" s="16" t="str">
        <x:v>Direct route</x:v>
      </x:c>
      <x:c r="K31" s="16" t="str">
        <x:v>Coach belongs to club without management capability</x:v>
      </x:c>
      <x:c r="L31" s="16" t="str">
        <x:v>1</x:v>
      </x:c>
      <x:c r="M31" s="16" t="str">
        <x:v>default deny</x:v>
      </x:c>
      <x:c r="N31" s="16" t="str">
        <x:v>Load read-only settings</x:v>
      </x:c>
      <x:c r="O31" s="16" t="str">
        <x:v>Load only data the coach may read</x:v>
      </x:c>
      <x:c r="P31" s="16" t="str">
        <x:v>Manager-only squad member and invite-code subreads are skipped; details and branding load</x:v>
      </x:c>
      <x:c r="Q31" s="16" t="str">
        <x:v>/v1/clubs/:clubId/invite-codes</x:v>
      </x:c>
      <x:c r="R31" s="16" t="str">
        <x:v>no request after fix</x:v>
      </x:c>
      <x:c r="S31" s="16" t="str"/>
      <x:c r="T31" s="16" t="str"/>
      <x:c r="U31" s="16" t="str"/>
      <x:c r="V31" s="16" t="str"/>
      <x:c r="W31" s="16" t="str"/>
      <x:c r="X31" s="16" t="str"/>
      <x:c r="Y31" s="16" t="str"/>
      <x:c r="Z31" s="16" t="str">
        <x:v>coach</x:v>
      </x:c>
      <x:c r="AA31" s="16" t="str">
        <x:v>Read-only settings loads without forbidden network calls</x:v>
      </x:c>
      <x:c r="AB31" s="16" t="str">
        <x:v>passed</x:v>
      </x:c>
      <x:c r="AC31" s="16" t="str">
        <x:v>review needed</x:v>
      </x:c>
      <x:c r="AD31" s="16" t="str">
        <x:v>review needed</x:v>
      </x:c>
      <x:c r="AE31" s="16" t="str">
        <x:v>passed</x:v>
      </x:c>
      <x:c r="AF31" s="16" t="str">
        <x:v>passed</x:v>
      </x:c>
      <x:c r="AG31" s="16" t="str">
        <x:v>shared code; native interaction pending</x:v>
      </x:c>
      <x:c r="AH31" s="16" t="str">
        <x:v>not applicable</x:v>
      </x:c>
      <x:c r="AI31" s="16" t="str">
        <x:v>passed</x:v>
      </x:c>
      <x:c r="AJ31" s="16" t="str">
        <x:v>static pass</x:v>
      </x:c>
      <x:c r="AK31" s="16" t="str">
        <x:v>fixed</x:v>
      </x:c>
      <x:c r="AL31" s="16" t="str">
        <x:v>medium</x:v>
      </x:c>
      <x:c r="AM31" s="16" t="str">
        <x:v>reviews/ios-native-audit/screenshots/005-club-settings-safe-error-after.png | reviews/ios-native-audit/screenshots/006-club-settings-readonly-loaded.png</x:v>
      </x:c>
      <x:c r="AN31" s="16" t="str">
        <x:v>Read-only route performed manager-only data requests</x:v>
      </x:c>
      <x:c r="AO31" s="16" t="str">
        <x:v>fix(club): skip manager data in read-only settings</x:v>
      </x:c>
      <x:c r="AP31" s="16" t="str">
        <x:v>boundary test and browser flow passed; native pending</x:v>
      </x:c>
      <x:c r="AQ31" s="16" t="str">
        <x:v>Editable controls are a separate UI-003 defect</x:v>
      </x:c>
    </x:row>
    <x:row r="32" ht="48" customHeight="1">
      <x:c r="A32" s="18" t="str">
        <x:v>UI-003</x:v>
      </x:c>
      <x:c r="B32" s="16" t="str">
        <x:v>COACH-CLUB-SETTINGS-READONLY-CONTROLS</x:v>
      </x:c>
      <x:c r="C32" s="16" t="str">
        <x:v>Read-only club settings controls</x:v>
      </x:c>
      <x:c r="D32" s="16" t="str">
        <x:v>coach and club admin</x:v>
      </x:c>
      <x:c r="E32" s="16" t="str">
        <x:v>/club/settings</x:v>
      </x:c>
      <x:c r="F32" s="16" t="str">
        <x:v>Club settings details</x:v>
      </x:c>
      <x:c r="G32" s="16" t="str">
        <x:v>permission-aware controls</x:v>
      </x:c>
      <x:c r="H32" s="16" t="str">
        <x:v>responsive browser viewport</x:v>
      </x:c>
      <x:c r="I32" s="16" t="str">
        <x:v>staging</x:v>
      </x:c>
      <x:c r="J32" s="16" t="str">
        <x:v>Direct route by coach then club admin</x:v>
      </x:c>
      <x:c r="K32" s="16" t="str">
        <x:v>Seeded coach and club-admin memberships</x:v>
      </x:c>
      <x:c r="L32" s="16" t="str">
        <x:v>1</x:v>
      </x:c>
      <x:c r="M32" s="16" t="str">
        <x:v>cross-role permission UI</x:v>
      </x:c>
      <x:c r="N32" s="16" t="str">
        <x:v>Inspect details controls for both roles</x:v>
      </x:c>
      <x:c r="O32" s="16" t="str">
        <x:v>Coach sees plain values; club admin keeps editable fields and Save changes</x:v>
      </x:c>
      <x:c r="P32" s="16" t="str">
        <x:v>Coach edit controls removed and copy shortened; admin retains three labelled fields and Save changes</x:v>
      </x:c>
      <x:c r="Q32" s="16" t="str"/>
      <x:c r="R32" s="16" t="str">
        <x:v>no flow errors</x:v>
      </x:c>
      <x:c r="S32" s="16" t="str"/>
      <x:c r="T32" s="16" t="str"/>
      <x:c r="U32" s="16" t="str"/>
      <x:c r="V32" s="16" t="str"/>
      <x:c r="W32" s="16" t="str"/>
      <x:c r="X32" s="16" t="str"/>
      <x:c r="Y32" s="16" t="str"/>
      <x:c r="Z32" s="16" t="str">
        <x:v>coach and club admin</x:v>
      </x:c>
      <x:c r="AA32" s="16" t="str">
        <x:v>Controls now match each role capability</x:v>
      </x:c>
      <x:c r="AB32" s="16" t="str">
        <x:v>passed</x:v>
      </x:c>
      <x:c r="AC32" s="16" t="str">
        <x:v>passed</x:v>
      </x:c>
      <x:c r="AD32" s="16" t="str">
        <x:v>passed after fix</x:v>
      </x:c>
      <x:c r="AE32" s="16" t="str">
        <x:v>passed after fix</x:v>
      </x:c>
      <x:c r="AF32" s="16" t="str">
        <x:v>passed</x:v>
      </x:c>
      <x:c r="AG32" s="16" t="str">
        <x:v>shared code; native interaction pending</x:v>
      </x:c>
      <x:c r="AH32" s="16" t="str">
        <x:v>not applicable</x:v>
      </x:c>
      <x:c r="AI32" s="16" t="str">
        <x:v>passed</x:v>
      </x:c>
      <x:c r="AJ32" s="16" t="str">
        <x:v>static pass; labelled admin fields</x:v>
      </x:c>
      <x:c r="AK32" s="16" t="str">
        <x:v>fixed</x:v>
      </x:c>
      <x:c r="AL32" s="16" t="str">
        <x:v>medium</x:v>
      </x:c>
      <x:c r="AM32" s="16" t="str">
        <x:v>reviews/ios-native-audit/screenshots/006-club-settings-readonly-loaded.png | reviews/ios-native-audit/screenshots/007-club-settings-readonly-controls-fixed.png | reviews/ios-native-audit/screenshots/008-club-settings-admin-controls-retained.png</x:v>
      </x:c>
      <x:c r="AN32" s="16" t="str">
        <x:v>Read-only permission state contradicted the edit controls shown</x:v>
      </x:c>
      <x:c r="AO32" s="16" t="str">
        <x:v>fix(club): align settings controls with role access</x:v>
      </x:c>
      <x:c r="AP32" s="16" t="str">
        <x:v>coach flow and club-admin cross-role assertion passed; native pending</x:v>
      </x:c>
      <x:c r="AQ32" s="16" t="str">
        <x:v>No destructive save action executed</x:v>
      </x:c>
    </x:row>
    <x:row r="33" ht="48" customHeight="1">
      <x:c r="A33" s="18" t="str">
        <x:v>ROUTE-001</x:v>
      </x:c>
      <x:c r="B33" s="16" t="str">
        <x:v>ADD-CHILD-AUTHORITY</x:v>
      </x:c>
      <x:c r="C33" s="16" t="str">
        <x:v>Add-child direct route authority</x:v>
      </x:c>
      <x:c r="D33" s="16" t="str">
        <x:v>family admin; assigned guardian; coach; athlete; club_admin</x:v>
      </x:c>
      <x:c r="E33" s="16" t="str">
        <x:v>/add-child</x:v>
      </x:c>
      <x:c r="F33" s="16" t="str">
        <x:v>app/(modal)/add-child.tsx</x:v>
      </x:c>
      <x:c r="G33" s="16" t="str">
        <x:v>authorised form; direct-entry denial</x:v>
      </x:c>
      <x:c r="H33" s="16" t="str">
        <x:v>iPhone 13 responsive emulation</x:v>
      </x:c>
      <x:c r="I33" s="16" t="str">
        <x:v>staging read-only responsive replay</x:v>
      </x:c>
      <x:c r="J33" s="16" t="str">
        <x:v>Direct /add-child</x:v>
      </x:c>
      <x:c r="K33" s="16" t="str">
        <x:v>Family owner and assigned guardian staging accounts plus coach, athlete and club-admin controls</x:v>
      </x:c>
      <x:c r="L33" s="16" t="str">
        <x:v>1</x:v>
      </x:c>
      <x:c r="M33" s="16" t="str">
        <x:v>family owner allowed; four non-admin roles default denied</x:v>
      </x:c>
      <x:c r="N33" s="16" t="str">
        <x:v>Open the add-child route directly</x:v>
      </x:c>
      <x:c r="O33" s="16" t="str">
        <x:v>Only a family administrator can render the form</x:v>
      </x:c>
      <x:c r="P33" s="16" t="str">
        <x:v>Family owner remained on /add-child; assigned guardian, coach, athlete and club admin redirected before form render</x:v>
      </x:c>
      <x:c r="Q33" s="16" t="str">
        <x:v>GET /v1/me | GET /v1/families/:familyId</x:v>
      </x:c>
      <x:c r="R33" s="16" t="str">
        <x:v>Five-role replay completed with no failed request or console error</x:v>
      </x:c>
      <x:c r="S33" s="16" t="str">
        <x:v>Read-only responsive replay; see report</x:v>
      </x:c>
      <x:c r="T33" s="16" t="str">
        <x:v>Family | FamilyMembership | Athlete | GuardianChildLink | AuditEvent</x:v>
      </x:c>
      <x:c r="U33" s="16" t="str">
        <x:v>Staging relationships were read only; no athlete or guardian link was created</x:v>
      </x:c>
      <x:c r="V33" s="16" t="str">
        <x:v>Not re-queried in this slice; Fastify family authority remained the client boundary</x:v>
      </x:c>
      <x:c r="W33" s="16" t="str">
        <x:v>No create mutation was submitted during staging replay</x:v>
      </x:c>
      <x:c r="X33" s="16" t="str"/>
      <x:c r="Y33" s="16" t="str">
        <x:v>blocked: current Sentry token returns HTTP 403 for issue reads</x:v>
      </x:c>
      <x:c r="Z33" s="16" t="str">
        <x:v>family admin | assigned guardian | coach | athlete | club_admin</x:v>
      </x:c>
      <x:c r="AA33" s="16" t="str">
        <x:v>1 authorised and 4 denied route outcomes matched family authority</x:v>
      </x:c>
      <x:c r="AB33" s="16" t="str">
        <x:v>passed</x:v>
      </x:c>
      <x:c r="AC33" s="16" t="str">
        <x:v>passed</x:v>
      </x:c>
      <x:c r="AD33" s="16" t="str">
        <x:v>separate UI-022 finding opened</x:v>
      </x:c>
      <x:c r="AE33" s="16" t="str">
        <x:v>separate UI-022 finding opened</x:v>
      </x:c>
      <x:c r="AF33" s="16" t="str">
        <x:v>passed</x:v>
      </x:c>
      <x:c r="AG33" s="16" t="str">
        <x:v>Shared React Native route; deterministic native semantic replay remains blocked by host DevToolsSecurity</x:v>
      </x:c>
      <x:c r="AH33" s="16" t="str">
        <x:v>Family-managed youth athlete profile</x:v>
      </x:c>
      <x:c r="AI33" s="16" t="str">
        <x:v>0 overflow and 0 nested buttons; visual simplification still pending in UI-022</x:v>
      </x:c>
      <x:c r="AJ33" s="16" t="str">
        <x:v>No nested controls; native VoiceOver tree remains blocked</x:v>
      </x:c>
      <x:c r="AK33" s="16" t="str">
        <x:v>passed</x:v>
      </x:c>
      <x:c r="AL33" s="16" t="str">
        <x:v>high</x:v>
      </x:c>
      <x:c r="AM33" s="16" t="str">
        <x:v>reviews/ios-native-audit/runtime/2026-07-31/add-child-authority-final/report.json | reviews/ios-native-audit/runtime/2026-07-31/add-child-authority-final/parent__parent_add_child.png</x:v>
      </x:c>
      <x:c r="AN33" s="16" t="str">
        <x:v>Route inventory was pending and direct-entry authority was unproved</x:v>
      </x:c>
      <x:c r="AO33" s="16" t="str">
        <x:v>fix(security): restrict child creation authority</x:v>
      </x:c>
      <x:c r="AP33" s="16" t="str">
        <x:v>5/5 role replay passed at 390px</x:v>
      </x:c>
      <x:c r="AQ33" s="16" t="str">
        <x:v>Responsive evidence is not labelled native. No staging or production create was submitted.</x:v>
      </x:c>
    </x:row>
    <x:row r="34" ht="48" customHeight="1">
      <x:c r="A34" s="18" t="str">
        <x:v>ROUTE-002</x:v>
      </x:c>
      <x:c r="B34" s="16" t="str">
        <x:v>coach_create_club_post_ready | coach_create_club_post_interactions | parent_create_club_post_denied | athlete_create_club_post_denied</x:v>
      </x:c>
      <x:c r="C34" s="16" t="str">
        <x:v>Create club update route</x:v>
      </x:c>
      <x:c r="D34" s="16" t="str">
        <x:v>coach; parent; athlete</x:v>
      </x:c>
      <x:c r="E34" s="16" t="str">
        <x:v>app/(modal)/create-club-post.tsx</x:v>
      </x:c>
      <x:c r="F34" s="16" t="str">
        <x:v>New club update</x:v>
      </x:c>
      <x:c r="G34" s="16" t="str">
        <x:v>loading; ready; denied; API failure recovery</x:v>
      </x:c>
      <x:c r="H34" s="16" t="str">
        <x:v>iPhone 16 Pro responsive browser viewport</x:v>
      </x:c>
      <x:c r="I34" s="16" t="str">
        <x:v>local Expo web backed by staging API reads and intercepted POST</x:v>
      </x:c>
      <x:c r="J34" s="16" t="str">
        <x:v>Club Hub or direct protected route</x:v>
      </x:c>
      <x:c r="K34" s="16" t="str">
        <x:v>Authenticated seeded role account and active club membership</x:v>
      </x:c>
      <x:c r="L34" s="16" t="str">
        <x:v>1</x:v>
      </x:c>
      <x:c r="M34" s="16" t="str">
        <x:v>authorized composer and direct-entry denial</x:v>
      </x:c>
      <x:c r="N34" s="16" t="str">
        <x:v>Load the route; inspect every control; change author and type; enter copy; force a POST failure; inspect denied roles</x:v>
      </x:c>
      <x:c r="O34" s="16" t="str">
        <x:v>Coach sees one truthful club-wide composer and can recover from failure; unauthorized roles see no club data or controls</x:v>
      </x:c>
      <x:c r="P34" s="16" t="str">
        <x:v>Coach clean and interaction flows passed; parent and athlete failed closed before the composer</x:v>
      </x:c>
      <x:c r="Q34" s="16" t="str">
        <x:v>GET /v1/clubs | intercepted POST /v1/posts</x:v>
      </x:c>
      <x:c r="R34" s="16" t="str">
        <x:v>Club authority read succeeded; POST 503 was intentionally fulfilled locally; no staging write</x:v>
      </x:c>
      <x:c r="S34" s="16" t="str"/>
      <x:c r="T34" s="16" t="str">
        <x:v>Club | ClubMembership | Post | AuditEvent</x:v>
      </x:c>
      <x:c r="U34" s="16" t="str">
        <x:v>No staging mutation</x:v>
      </x:c>
      <x:c r="V34" s="16" t="str">
        <x:v>Current Post direct-client posture verified separately</x:v>
      </x:c>
      <x:c r="W34" s="16" t="str">
        <x:v>Policy denials are audited in isolated Fastify tests</x:v>
      </x:c>
      <x:c r="X34" s="16" t="str"/>
      <x:c r="Y34" s="16" t="str">
        <x:v>Sentry issue reads blocked by HTTP 403; accepted target flows had no high finding</x:v>
      </x:c>
      <x:c r="Z34" s="16" t="str">
        <x:v>coach; parent; athlete</x:v>
      </x:c>
      <x:c r="AA34" s="16" t="str">
        <x:v>Coach passed both states; parent and athlete denial passed</x:v>
      </x:c>
      <x:c r="AB34" s="16" t="str">
        <x:v>passed</x:v>
      </x:c>
      <x:c r="AC34" s="16" t="str">
        <x:v>passed</x:v>
      </x:c>
      <x:c r="AD34" s="16" t="str">
        <x:v>deleted media event distribution squad selection duplicate footer and manual attachment fields</x:v>
      </x:c>
      <x:c r="AE34" s="16" t="str">
        <x:v>removed fake specificity and generated helper prose</x:v>
      </x:c>
      <x:c r="AF34" s="16" t="str">
        <x:v>passed</x:v>
      </x:c>
      <x:c r="AG34" s="16" t="str">
        <x:v>Shared React Native screen at 390px; deterministic native runner remains blocked by DevToolsSecurity</x:v>
      </x:c>
      <x:c r="AH34" s="16" t="str">
        <x:v>club-wide football communication</x:v>
      </x:c>
      <x:c r="AI34" s="16" t="str">
        <x:v>Clean and failure screenshots manually accepted; no overflow</x:v>
      </x:c>
      <x:c r="AJ34" s="16" t="str">
        <x:v>Close author type headline update and publish controls are labelled; radio and disabled states exposed</x:v>
      </x:c>
      <x:c r="AK34" s="16" t="str">
        <x:v>fixed</x:v>
      </x:c>
      <x:c r="AL34" s="16" t="str">
        <x:v>high</x:v>
      </x:c>
      <x:c r="AM34" s="16" t="str">
        <x:v>reviews/ios-native-audit/runtime/2026-08-01/create-club-post-final/report.json | reviews/ios-native-audit/runtime/2026-08-01/create-club-post-final/coach__coach_create_club_post_ready.png | __tests__/hooks/create-club-post-api-boundary.test.ts</x:v>
      </x:c>
      <x:c r="AN34" s="16" t="str">
        <x:v>The route exposed unsupported media and private-looking squad choices; ignored route scope; silently disabled unauthorized entry; duplicated controls; and could double-submit</x:v>
      </x:c>
      <x:c r="AO34" s="16" t="str">
        <x:v>fix(social): harden club update publishing</x:v>
      </x:c>
      <x:c r="AP34" s="16" t="str">
        <x:v>4/4 accepted responsive flows and 5/5 boundary tests passed</x:v>
      </x:c>
      <x:c r="AQ34" s="16" t="str">
        <x:v>No staging post was submitted. Native VoiceOver proof remains blocked by ENV-006.</x:v>
      </x:c>
    </x:row>
    <x:row r="35" ht="48" customHeight="1">
      <x:c r="A35" s="18" t="str">
        <x:v>ROUTE-003</x:v>
      </x:c>
      <x:c r="B35" s="16" t="str">
        <x:v>ROUTE-INVENTORY</x:v>
      </x:c>
      <x:c r="C35" s="16" t="str">
        <x:v>Reachable route coverage</x:v>
      </x:c>
      <x:c r="D35" s="16" t="str">
        <x:v>to classify</x:v>
      </x:c>
      <x:c r="E35" s="16" t="str">
        <x:v>app/(modal)/create-squad.tsx</x:v>
      </x:c>
      <x:c r="F35" s="16" t="str">
        <x:v>app/(modal)/create-squad.tsx</x:v>
      </x:c>
      <x:c r="G35" s="16" t="str">
        <x:v>inventory</x:v>
      </x:c>
      <x:c r="H35" s="16" t="str"/>
      <x:c r="I35" s="16" t="str">
        <x:v>staging</x:v>
      </x:c>
      <x:c r="J35" s="16" t="str"/>
      <x:c r="K35" s="16" t="str"/>
      <x:c r="L35" s="16" t="str"/>
      <x:c r="M35" s="16" t="str"/>
      <x:c r="N35" s="16" t="str"/>
      <x:c r="O35" s="16" t="str"/>
      <x:c r="P35" s="16" t="str"/>
      <x:c r="Q35" s="16" t="str"/>
      <x:c r="R35" s="16" t="str"/>
      <x:c r="S35" s="16" t="str"/>
      <x:c r="T35" s="16" t="str"/>
      <x:c r="U35" s="16" t="str"/>
      <x:c r="V35" s="16" t="str"/>
      <x:c r="W35" s="16" t="str"/>
      <x:c r="X35" s="16" t="str"/>
      <x:c r="Y35" s="16" t="str"/>
      <x:c r="Z35" s="16" t="str"/>
      <x:c r="AA35" s="16" t="str"/>
      <x:c r="AB35" s="16" t="str"/>
      <x:c r="AC35" s="16" t="str"/>
      <x:c r="AD35" s="16" t="str"/>
      <x:c r="AE35" s="16" t="str"/>
      <x:c r="AF35" s="16" t="str"/>
      <x:c r="AG35" s="16" t="str"/>
      <x:c r="AH35" s="16" t="str"/>
      <x:c r="AI35" s="16" t="str"/>
      <x:c r="AJ35" s="16" t="str"/>
      <x:c r="AK35" s="16" t="str">
        <x:v>pending</x:v>
      </x:c>
      <x:c r="AL35" s="16" t="str"/>
      <x:c r="AM35" s="16" t="str"/>
      <x:c r="AN35" s="16" t="str"/>
      <x:c r="AO35" s="16" t="str"/>
      <x:c r="AP35" s="16" t="str">
        <x:v>pending</x:v>
      </x:c>
      <x:c r="AQ35" s="16" t="str">
        <x:v>Discovered from executable Expo Router tree; runtime coverage pending</x:v>
      </x:c>
    </x:row>
    <x:row r="36" ht="48" customHeight="1">
      <x:c r="A36" s="18" t="str">
        <x:v>ROUTE-004</x:v>
      </x:c>
      <x:c r="B36" s="16" t="str">
        <x:v>ROUTE-INVENTORY</x:v>
      </x:c>
      <x:c r="C36" s="16" t="str">
        <x:v>Reachable route coverage</x:v>
      </x:c>
      <x:c r="D36" s="16" t="str">
        <x:v>to classify</x:v>
      </x:c>
      <x:c r="E36" s="16" t="str">
        <x:v>app/(modal)/edit-child-profile.tsx</x:v>
      </x:c>
      <x:c r="F36" s="16" t="str">
        <x:v>app/(modal)/edit-child-profile.tsx</x:v>
      </x:c>
      <x:c r="G36" s="16" t="str">
        <x:v>inventory</x:v>
      </x:c>
      <x:c r="H36" s="16" t="str"/>
      <x:c r="I36" s="16" t="str">
        <x:v>staging</x:v>
      </x:c>
      <x:c r="J36" s="16" t="str"/>
      <x:c r="K36" s="16" t="str"/>
      <x:c r="L36" s="16" t="str"/>
      <x:c r="M36" s="16" t="str"/>
      <x:c r="N36" s="16" t="str"/>
      <x:c r="O36" s="16" t="str"/>
      <x:c r="P36" s="16" t="str"/>
      <x:c r="Q36" s="16" t="str"/>
      <x:c r="R36" s="16" t="str"/>
      <x:c r="S36" s="16" t="str"/>
      <x:c r="T36" s="16" t="str"/>
      <x:c r="U36" s="16" t="str"/>
      <x:c r="V36" s="16" t="str"/>
      <x:c r="W36" s="16" t="str"/>
      <x:c r="X36" s="16" t="str"/>
      <x:c r="Y36" s="16" t="str"/>
      <x:c r="Z36" s="16" t="str"/>
      <x:c r="AA36" s="16" t="str"/>
      <x:c r="AB36" s="16" t="str"/>
      <x:c r="AC36" s="16" t="str"/>
      <x:c r="AD36" s="16" t="str"/>
      <x:c r="AE36" s="16" t="str"/>
      <x:c r="AF36" s="16" t="str"/>
      <x:c r="AG36" s="16" t="str"/>
      <x:c r="AH36" s="16" t="str"/>
      <x:c r="AI36" s="16" t="str"/>
      <x:c r="AJ36" s="16" t="str"/>
      <x:c r="AK36" s="16" t="str">
        <x:v>pending</x:v>
      </x:c>
      <x:c r="AL36" s="16" t="str"/>
      <x:c r="AM36" s="16" t="str"/>
      <x:c r="AN36" s="16" t="str"/>
      <x:c r="AO36" s="16" t="str"/>
      <x:c r="AP36" s="16" t="str">
        <x:v>pending</x:v>
      </x:c>
      <x:c r="AQ36" s="16" t="str">
        <x:v>Discovered from executable Expo Router tree; runtime coverage pending</x:v>
      </x:c>
    </x:row>
    <x:row r="37" ht="48" customHeight="1">
      <x:c r="A37" s="18" t="str">
        <x:v>ROUTE-005</x:v>
      </x:c>
      <x:c r="B37" s="16" t="str">
        <x:v>ROUTE-INVENTORY</x:v>
      </x:c>
      <x:c r="C37" s="16" t="str">
        <x:v>Reachable route coverage</x:v>
      </x:c>
      <x:c r="D37" s="16" t="str">
        <x:v>to classify</x:v>
      </x:c>
      <x:c r="E37" s="16" t="str">
        <x:v>app/(modal)/edit-child-sen.tsx</x:v>
      </x:c>
      <x:c r="F37" s="16" t="str">
        <x:v>app/(modal)/edit-child-sen.tsx</x:v>
      </x:c>
      <x:c r="G37" s="16" t="str">
        <x:v>inventory</x:v>
      </x:c>
      <x:c r="H37" s="16" t="str"/>
      <x:c r="I37" s="16" t="str">
        <x:v>staging</x:v>
      </x:c>
      <x:c r="J37" s="16" t="str"/>
      <x:c r="K37" s="16" t="str"/>
      <x:c r="L37" s="16" t="str"/>
      <x:c r="M37" s="16" t="str"/>
      <x:c r="N37" s="16" t="str"/>
      <x:c r="O37" s="16" t="str"/>
      <x:c r="P37" s="16" t="str"/>
      <x:c r="Q37" s="16" t="str"/>
      <x:c r="R37" s="16" t="str"/>
      <x:c r="S37" s="16" t="str"/>
      <x:c r="T37" s="16" t="str"/>
      <x:c r="U37" s="16" t="str"/>
      <x:c r="V37" s="16" t="str"/>
      <x:c r="W37" s="16" t="str"/>
      <x:c r="X37" s="16" t="str"/>
      <x:c r="Y37" s="16" t="str"/>
      <x:c r="Z37" s="16" t="str"/>
      <x:c r="AA37" s="16" t="str"/>
      <x:c r="AB37" s="16" t="str"/>
      <x:c r="AC37" s="16" t="str"/>
      <x:c r="AD37" s="16" t="str"/>
      <x:c r="AE37" s="16" t="str"/>
      <x:c r="AF37" s="16" t="str"/>
      <x:c r="AG37" s="16" t="str"/>
      <x:c r="AH37" s="16" t="str"/>
      <x:c r="AI37" s="16" t="str"/>
      <x:c r="AJ37" s="16" t="str"/>
      <x:c r="AK37" s="16" t="str">
        <x:v>pending</x:v>
      </x:c>
      <x:c r="AL37" s="16" t="str"/>
      <x:c r="AM37" s="16" t="str"/>
      <x:c r="AN37" s="16" t="str"/>
      <x:c r="AO37" s="16" t="str"/>
      <x:c r="AP37" s="16" t="str">
        <x:v>pending</x:v>
      </x:c>
      <x:c r="AQ37" s="16" t="str">
        <x:v>Discovered from executable Expo Router tree; runtime coverage pending</x:v>
      </x:c>
    </x:row>
    <x:row r="38" ht="48" customHeight="1">
      <x:c r="A38" s="18" t="str">
        <x:v>ROUTE-006</x:v>
      </x:c>
      <x:c r="B38" s="16" t="str">
        <x:v>ROUTE-INVENTORY</x:v>
      </x:c>
      <x:c r="C38" s="16" t="str">
        <x:v>Reachable route coverage</x:v>
      </x:c>
      <x:c r="D38" s="16" t="str">
        <x:v>to classify</x:v>
      </x:c>
      <x:c r="E38" s="16" t="str">
        <x:v>app/(modal)/post-detail.tsx</x:v>
      </x:c>
      <x:c r="F38" s="16" t="str">
        <x:v>app/(modal)/post-detail.tsx</x:v>
      </x:c>
      <x:c r="G38" s="16" t="str">
        <x:v>inventory</x:v>
      </x:c>
      <x:c r="H38" s="16" t="str"/>
      <x:c r="I38" s="16" t="str">
        <x:v>staging</x:v>
      </x:c>
      <x:c r="J38" s="16" t="str"/>
      <x:c r="K38" s="16" t="str"/>
      <x:c r="L38" s="16" t="str"/>
      <x:c r="M38" s="16" t="str"/>
      <x:c r="N38" s="16" t="str"/>
      <x:c r="O38" s="16" t="str"/>
      <x:c r="P38" s="16" t="str"/>
      <x:c r="Q38" s="16" t="str"/>
      <x:c r="R38" s="16" t="str"/>
      <x:c r="S38" s="16" t="str"/>
      <x:c r="T38" s="16" t="str"/>
      <x:c r="U38" s="16" t="str"/>
      <x:c r="V38" s="16" t="str"/>
      <x:c r="W38" s="16" t="str"/>
      <x:c r="X38" s="16" t="str"/>
      <x:c r="Y38" s="16" t="str"/>
      <x:c r="Z38" s="16" t="str"/>
      <x:c r="AA38" s="16" t="str"/>
      <x:c r="AB38" s="16" t="str"/>
      <x:c r="AC38" s="16" t="str"/>
      <x:c r="AD38" s="16" t="str"/>
      <x:c r="AE38" s="16" t="str"/>
      <x:c r="AF38" s="16" t="str"/>
      <x:c r="AG38" s="16" t="str"/>
      <x:c r="AH38" s="16" t="str"/>
      <x:c r="AI38" s="16" t="str"/>
      <x:c r="AJ38" s="16" t="str"/>
      <x:c r="AK38" s="16" t="str">
        <x:v>pending</x:v>
      </x:c>
      <x:c r="AL38" s="16" t="str"/>
      <x:c r="AM38" s="16" t="str"/>
      <x:c r="AN38" s="16" t="str"/>
      <x:c r="AO38" s="16" t="str"/>
      <x:c r="AP38" s="16" t="str">
        <x:v>pending</x:v>
      </x:c>
      <x:c r="AQ38" s="16" t="str">
        <x:v>Discovered from executable Expo Router tree; runtime coverage pending</x:v>
      </x:c>
    </x:row>
    <x:row r="39" ht="48" customHeight="1">
      <x:c r="A39" s="18" t="str">
        <x:v>ROUTE-007</x:v>
      </x:c>
      <x:c r="B39" s="16" t="str">
        <x:v>ROUTE-INVENTORY</x:v>
      </x:c>
      <x:c r="C39" s="16" t="str">
        <x:v>Reachable route coverage</x:v>
      </x:c>
      <x:c r="D39" s="16" t="str">
        <x:v>to classify</x:v>
      </x:c>
      <x:c r="E39" s="16" t="str">
        <x:v>app/(tabs)/admin/invite-codes.tsx</x:v>
      </x:c>
      <x:c r="F39" s="16" t="str">
        <x:v>app/(tabs)/admin/invite-codes.tsx</x:v>
      </x:c>
      <x:c r="G39" s="16" t="str">
        <x:v>inventory</x:v>
      </x:c>
      <x:c r="H39" s="16" t="str"/>
      <x:c r="I39" s="16" t="str">
        <x:v>staging</x:v>
      </x:c>
      <x:c r="J39" s="16" t="str"/>
      <x:c r="K39" s="16" t="str"/>
      <x:c r="L39" s="16" t="str"/>
      <x:c r="M39" s="16" t="str"/>
      <x:c r="N39" s="16" t="str"/>
      <x:c r="O39" s="16" t="str"/>
      <x:c r="P39" s="16" t="str"/>
      <x:c r="Q39" s="16" t="str"/>
      <x:c r="R39" s="16" t="str"/>
      <x:c r="S39" s="16" t="str"/>
      <x:c r="T39" s="16" t="str"/>
      <x:c r="U39" s="16" t="str"/>
      <x:c r="V39" s="16" t="str"/>
      <x:c r="W39" s="16" t="str"/>
      <x:c r="X39" s="16" t="str"/>
      <x:c r="Y39" s="16" t="str"/>
      <x:c r="Z39" s="16" t="str"/>
      <x:c r="AA39" s="16" t="str"/>
      <x:c r="AB39" s="16" t="str"/>
      <x:c r="AC39" s="16" t="str"/>
      <x:c r="AD39" s="16" t="str"/>
      <x:c r="AE39" s="16" t="str"/>
      <x:c r="AF39" s="16" t="str"/>
      <x:c r="AG39" s="16" t="str"/>
      <x:c r="AH39" s="16" t="str"/>
      <x:c r="AI39" s="16" t="str"/>
      <x:c r="AJ39" s="16" t="str"/>
      <x:c r="AK39" s="16" t="str">
        <x:v>pending</x:v>
      </x:c>
      <x:c r="AL39" s="16" t="str"/>
      <x:c r="AM39" s="16" t="str"/>
      <x:c r="AN39" s="16" t="str"/>
      <x:c r="AO39" s="16" t="str"/>
      <x:c r="AP39" s="16" t="str">
        <x:v>pending</x:v>
      </x:c>
      <x:c r="AQ39" s="16" t="str">
        <x:v>Discovered from executable Expo Router tree; runtime coverage pending</x:v>
      </x:c>
    </x:row>
    <x:row r="40" ht="48" customHeight="1">
      <x:c r="A40" s="18" t="str">
        <x:v>ROUTE-008</x:v>
      </x:c>
      <x:c r="B40" s="16" t="str">
        <x:v>coach_athletes</x:v>
      </x:c>
      <x:c r="C40" s="16" t="str">
        <x:v>Coach opens athletes</x:v>
      </x:c>
      <x:c r="D40" s="16" t="str">
        <x:v>coach</x:v>
      </x:c>
      <x:c r="E40" s="16" t="str">
        <x:v>app/(tabs)/athletes.tsx</x:v>
      </x:c>
      <x:c r="F40" s="16" t="str">
        <x:v>app/(tabs)/athletes.tsx</x:v>
      </x:c>
      <x:c r="G40" s="16" t="str">
        <x:v>responsive route load and configured non-mutating assertions</x:v>
      </x:c>
      <x:c r="H40" s="16" t="str">
        <x:v>iPhone 16 Pro responsive browser viewport</x:v>
      </x:c>
      <x:c r="I40" s="16" t="str">
        <x:v>local Expo web bundle backed by staging API</x:v>
      </x:c>
      <x:c r="J40" s="16" t="str">
        <x:v>/athletes</x:v>
      </x:c>
      <x:c r="K40" s="16" t="str">
        <x:v>Authenticated seeded role account and linked staging dataset</x:v>
      </x:c>
      <x:c r="L40" s="16" t="str">
        <x:v>1</x:v>
      </x:c>
      <x:c r="M40" s="16" t="str">
        <x:v>coach_athletes</x:v>
      </x:c>
      <x:c r="N40" s="16" t="str">
        <x:v>Navigate directly and execute the flow runner assertions without submitting a product mutation</x:v>
      </x:c>
      <x:c r="O40" s="16" t="str">
        <x:v>Resolve the intended route without a failed request runtime exception shared error state nested button horizontal overflow or product-text finding</x:v>
      </x:c>
      <x:c r="P40" s="16" t="str">
        <x:v>1/1 mapped flows returned status ok and severity none at 390px</x:v>
      </x:c>
      <x:c r="Q40" s="16" t="str">
        <x:v>Browser-observed role-scoped route requests</x:v>
      </x:c>
      <x:c r="R40" s="16" t="str">
        <x:v>No failed request detected; exact endpoint-by-endpoint reconciliation remains a separate audit gap</x:v>
      </x:c>
      <x:c r="S40" s="16" t="str"/>
      <x:c r="T40" s="16" t="str"/>
      <x:c r="U40" s="16" t="str">
        <x:v>No database mutation executed by this route-load regression</x:v>
      </x:c>
      <x:c r="V40" s="16" t="str">
        <x:v>Not directly exercised in this route-load regression</x:v>
      </x:c>
      <x:c r="W40" s="16" t="str">
        <x:v>Not reconciled in this route-load regression</x:v>
      </x:c>
      <x:c r="X40" s="16" t="str"/>
      <x:c r="Y40" s="16" t="str">
        <x:v>Sentry API unavailable; runner detected no runtime exception or console error classified as high or medium</x:v>
      </x:c>
      <x:c r="Z40" s="16" t="str">
        <x:v>coach</x:v>
      </x:c>
      <x:c r="AA40" s="16" t="str">
        <x:v>coach mapped route flow passed</x:v>
      </x:c>
      <x:c r="AB40" s="16" t="str">
        <x:v>automated route pass; manual visual corpus tracked separately</x:v>
      </x:c>
      <x:c r="AC40" s="16" t="str">
        <x:v>configured actions passed where present; otherwise route-load only</x:v>
      </x:c>
      <x:c r="AD40" s="16" t="str">
        <x:v>no automated high or medium finding</x:v>
      </x:c>
      <x:c r="AE40" s="16" t="str">
        <x:v>0 product-text findings</x:v>
      </x:c>
      <x:c r="AF40" s="16" t="str">
        <x:v>0 product-text findings</x:v>
      </x:c>
      <x:c r="AG40" s="16" t="str">
        <x:v>Shared React Native surface passed responsive runtime; native interaction remains blocked by host DevToolsSecurity</x:v>
      </x:c>
      <x:c r="AH40" s="16" t="str">
        <x:v>football product route</x:v>
      </x:c>
      <x:c r="AI40" s="16" t="str">
        <x:v>390px viewport with 0 horizontal overflow</x:v>
      </x:c>
      <x:c r="AJ40" s="16" t="str">
        <x:v>0 nested buttons; native semantic tree and VoiceOver remain unverified</x:v>
      </x:c>
      <x:c r="AK40" s="16" t="str">
        <x:v>passed</x:v>
      </x:c>
      <x:c r="AL40" s="16" t="str"/>
      <x:c r="AM40" s="16" t="str">
        <x:v>reviews/ios-native-audit/runtime/2026-07-31/report.merged.json</x:v>
      </x:c>
      <x:c r="AN40" s="16" t="str"/>
      <x:c r="AO40" s="16" t="str">
        <x:v>chore(audit): reconcile responsive route evidence</x:v>
      </x:c>
      <x:c r="AP40" s="16" t="str">
        <x:v>1/1 fresh mapped flows passed on 2026-07-31</x:v>
      </x:c>
      <x:c r="AQ40" s="16" t="str">
        <x:v>Non-destructive responsive route evidence only; exact API request IDs database RLS audit-event and native checks remain explicit separate gaps</x:v>
      </x:c>
    </x:row>
    <x:row r="41" ht="48" customHeight="1">
      <x:c r="A41" s="18" t="str">
        <x:v>ROUTE-009</x:v>
      </x:c>
      <x:c r="B41" s="16" t="str">
        <x:v>ROUTE-INVENTORY</x:v>
      </x:c>
      <x:c r="C41" s="16" t="str">
        <x:v>Reachable route coverage</x:v>
      </x:c>
      <x:c r="D41" s="16" t="str">
        <x:v>to classify</x:v>
      </x:c>
      <x:c r="E41" s="16" t="str">
        <x:v>app/(tabs)/availability.tsx</x:v>
      </x:c>
      <x:c r="F41" s="16" t="str">
        <x:v>app/(tabs)/availability.tsx</x:v>
      </x:c>
      <x:c r="G41" s="16" t="str">
        <x:v>inventory</x:v>
      </x:c>
      <x:c r="H41" s="16" t="str"/>
      <x:c r="I41" s="16" t="str">
        <x:v>staging</x:v>
      </x:c>
      <x:c r="J41" s="16" t="str"/>
      <x:c r="K41" s="16" t="str"/>
      <x:c r="L41" s="16" t="str"/>
      <x:c r="M41" s="16" t="str"/>
      <x:c r="N41" s="16" t="str"/>
      <x:c r="O41" s="16" t="str"/>
      <x:c r="P41" s="16" t="str"/>
      <x:c r="Q41" s="16" t="str"/>
      <x:c r="R41" s="16" t="str"/>
      <x:c r="S41" s="16" t="str"/>
      <x:c r="T41" s="16" t="str"/>
      <x:c r="U41" s="16" t="str"/>
      <x:c r="V41" s="16" t="str"/>
      <x:c r="W41" s="16" t="str"/>
      <x:c r="X41" s="16" t="str"/>
      <x:c r="Y41" s="16" t="str"/>
      <x:c r="Z41" s="16" t="str"/>
      <x:c r="AA41" s="16" t="str"/>
      <x:c r="AB41" s="16" t="str"/>
      <x:c r="AC41" s="16" t="str"/>
      <x:c r="AD41" s="16" t="str"/>
      <x:c r="AE41" s="16" t="str"/>
      <x:c r="AF41" s="16" t="str"/>
      <x:c r="AG41" s="16" t="str"/>
      <x:c r="AH41" s="16" t="str"/>
      <x:c r="AI41" s="16" t="str"/>
      <x:c r="AJ41" s="16" t="str"/>
      <x:c r="AK41" s="16" t="str">
        <x:v>pending</x:v>
      </x:c>
      <x:c r="AL41" s="16" t="str"/>
      <x:c r="AM41" s="16" t="str"/>
      <x:c r="AN41" s="16" t="str"/>
      <x:c r="AO41" s="16" t="str"/>
      <x:c r="AP41" s="16" t="str">
        <x:v>pending</x:v>
      </x:c>
      <x:c r="AQ41" s="16" t="str">
        <x:v>Discovered from executable Expo Router tree; runtime coverage pending</x:v>
      </x:c>
    </x:row>
    <x:row r="42" ht="48" customHeight="1">
      <x:c r="A42" s="18" t="str">
        <x:v>ROUTE-010</x:v>
      </x:c>
      <x:c r="B42" s="16" t="str">
        <x:v>ROUTE-INVENTORY</x:v>
      </x:c>
      <x:c r="C42" s="16" t="str">
        <x:v>Reachable route coverage</x:v>
      </x:c>
      <x:c r="D42" s="16" t="str">
        <x:v>to classify</x:v>
      </x:c>
      <x:c r="E42" s="16" t="str">
        <x:v>app/(tabs)/bookings/[id].tsx</x:v>
      </x:c>
      <x:c r="F42" s="16" t="str">
        <x:v>app/(tabs)/bookings/[id].tsx</x:v>
      </x:c>
      <x:c r="G42" s="16" t="str">
        <x:v>inventory</x:v>
      </x:c>
      <x:c r="H42" s="16" t="str"/>
      <x:c r="I42" s="16" t="str">
        <x:v>staging</x:v>
      </x:c>
      <x:c r="J42" s="16" t="str"/>
      <x:c r="K42" s="16" t="str"/>
      <x:c r="L42" s="16" t="str"/>
      <x:c r="M42" s="16" t="str"/>
      <x:c r="N42" s="16" t="str"/>
      <x:c r="O42" s="16" t="str"/>
      <x:c r="P42" s="16" t="str"/>
      <x:c r="Q42" s="16" t="str"/>
      <x:c r="R42" s="16" t="str"/>
      <x:c r="S42" s="16" t="str"/>
      <x:c r="T42" s="16" t="str"/>
      <x:c r="U42" s="16" t="str"/>
      <x:c r="V42" s="16" t="str"/>
      <x:c r="W42" s="16" t="str"/>
      <x:c r="X42" s="16" t="str"/>
      <x:c r="Y42" s="16" t="str"/>
      <x:c r="Z42" s="16" t="str"/>
      <x:c r="AA42" s="16" t="str"/>
      <x:c r="AB42" s="16" t="str"/>
      <x:c r="AC42" s="16" t="str"/>
      <x:c r="AD42" s="16" t="str"/>
      <x:c r="AE42" s="16" t="str"/>
      <x:c r="AF42" s="16" t="str"/>
      <x:c r="AG42" s="16" t="str"/>
      <x:c r="AH42" s="16" t="str"/>
      <x:c r="AI42" s="16" t="str"/>
      <x:c r="AJ42" s="16" t="str"/>
      <x:c r="AK42" s="16" t="str">
        <x:v>pending</x:v>
      </x:c>
      <x:c r="AL42" s="16" t="str"/>
      <x:c r="AM42" s="16" t="str"/>
      <x:c r="AN42" s="16" t="str"/>
      <x:c r="AO42" s="16" t="str"/>
      <x:c r="AP42" s="16" t="str">
        <x:v>pending</x:v>
      </x:c>
      <x:c r="AQ42" s="16" t="str">
        <x:v>Discovered from executable Expo Router tree; runtime coverage pending</x:v>
      </x:c>
    </x:row>
    <x:row r="43" ht="48" customHeight="1">
      <x:c r="A43" s="18" t="str">
        <x:v>ROUTE-011</x:v>
      </x:c>
      <x:c r="B43" s="16" t="str">
        <x:v>coach_bookings | parent_bookings | athlete_bookings</x:v>
      </x:c>
      <x:c r="C43" s="16" t="str">
        <x:v>Coach opens bookings | Parent opens bookings | Athlete opens bookings</x:v>
      </x:c>
      <x:c r="D43" s="16" t="str">
        <x:v>coach parent athlete</x:v>
      </x:c>
      <x:c r="E43" s="16" t="str">
        <x:v>app/(tabs)/bookings/index.tsx</x:v>
      </x:c>
      <x:c r="F43" s="16" t="str">
        <x:v>app/(tabs)/bookings/index.tsx</x:v>
      </x:c>
      <x:c r="G43" s="16" t="str">
        <x:v>responsive route load and configured non-mutating assertions</x:v>
      </x:c>
      <x:c r="H43" s="16" t="str">
        <x:v>iPhone 16 Pro responsive browser viewport</x:v>
      </x:c>
      <x:c r="I43" s="16" t="str">
        <x:v>local Expo web bundle backed by staging API</x:v>
      </x:c>
      <x:c r="J43" s="16" t="str">
        <x:v>/bookings</x:v>
      </x:c>
      <x:c r="K43" s="16" t="str">
        <x:v>Authenticated seeded role account and linked staging dataset</x:v>
      </x:c>
      <x:c r="L43" s="16" t="str">
        <x:v>1</x:v>
      </x:c>
      <x:c r="M43" s="16" t="str">
        <x:v>coach_bookings | parent_bookings | athlete_bookings</x:v>
      </x:c>
      <x:c r="N43" s="16" t="str">
        <x:v>Navigate directly and execute the flow runner assertions without submitting a product mutation</x:v>
      </x:c>
      <x:c r="O43" s="16" t="str">
        <x:v>Resolve the intended route without a failed request runtime exception shared error state nested button horizontal overflow or product-text finding</x:v>
      </x:c>
      <x:c r="P43" s="16" t="str">
        <x:v>3/3 mapped flows returned status ok and severity none at 390px</x:v>
      </x:c>
      <x:c r="Q43" s="16" t="str">
        <x:v>Browser-observed role-scoped route requests</x:v>
      </x:c>
      <x:c r="R43" s="16" t="str">
        <x:v>No failed request detected; exact endpoint-by-endpoint reconciliation remains a separate audit gap</x:v>
      </x:c>
      <x:c r="S43" s="16" t="str"/>
      <x:c r="T43" s="16" t="str"/>
      <x:c r="U43" s="16" t="str">
        <x:v>No database mutation executed by this route-load regression</x:v>
      </x:c>
      <x:c r="V43" s="16" t="str">
        <x:v>Not directly exercised in this route-load regression</x:v>
      </x:c>
      <x:c r="W43" s="16" t="str">
        <x:v>Not reconciled in this route-load regression</x:v>
      </x:c>
      <x:c r="X43" s="16" t="str"/>
      <x:c r="Y43" s="16" t="str">
        <x:v>Sentry API unavailable; runner detected no runtime exception or console error classified as high or medium</x:v>
      </x:c>
      <x:c r="Z43" s="16" t="str">
        <x:v>coach parent athlete</x:v>
      </x:c>
      <x:c r="AA43" s="16" t="str">
        <x:v>coach, parent, athlete mapped route flows passed</x:v>
      </x:c>
      <x:c r="AB43" s="16" t="str">
        <x:v>automated route pass; manual visual corpus tracked separately</x:v>
      </x:c>
      <x:c r="AC43" s="16" t="str">
        <x:v>configured actions passed where present; otherwise route-load only</x:v>
      </x:c>
      <x:c r="AD43" s="16" t="str">
        <x:v>no automated high or medium finding</x:v>
      </x:c>
      <x:c r="AE43" s="16" t="str">
        <x:v>0 product-text findings</x:v>
      </x:c>
      <x:c r="AF43" s="16" t="str">
        <x:v>0 product-text findings</x:v>
      </x:c>
      <x:c r="AG43" s="16" t="str">
        <x:v>Shared React Native surface passed responsive runtime; native interaction remains blocked by host DevToolsSecurity</x:v>
      </x:c>
      <x:c r="AH43" s="16" t="str">
        <x:v>football product route</x:v>
      </x:c>
      <x:c r="AI43" s="16" t="str">
        <x:v>390px viewport with 0 horizontal overflow</x:v>
      </x:c>
      <x:c r="AJ43" s="16" t="str">
        <x:v>0 nested buttons; native semantic tree and VoiceOver remain unverified</x:v>
      </x:c>
      <x:c r="AK43" s="16" t="str">
        <x:v>passed</x:v>
      </x:c>
      <x:c r="AL43" s="16" t="str"/>
      <x:c r="AM43" s="16" t="str">
        <x:v>reviews/ios-native-audit/runtime/2026-07-31/report.merged.json</x:v>
      </x:c>
      <x:c r="AN43" s="16" t="str"/>
      <x:c r="AO43" s="16" t="str">
        <x:v>chore(audit): reconcile responsive route evidence</x:v>
      </x:c>
      <x:c r="AP43" s="16" t="str">
        <x:v>3/3 fresh mapped flows passed on 2026-07-31</x:v>
      </x:c>
      <x:c r="AQ43" s="16" t="str">
        <x:v>Non-destructive responsive route evidence only; exact API request IDs database RLS audit-event and native checks remain explicit separate gaps</x:v>
      </x:c>
    </x:row>
    <x:row r="44" ht="48" customHeight="1">
      <x:c r="A44" s="18" t="str">
        <x:v>ROUTE-012</x:v>
      </x:c>
      <x:c r="B44" s="16" t="str">
        <x:v>ROUTE-INVENTORY</x:v>
      </x:c>
      <x:c r="C44" s="16" t="str">
        <x:v>Reachable route coverage</x:v>
      </x:c>
      <x:c r="D44" s="16" t="str">
        <x:v>to classify</x:v>
      </x:c>
      <x:c r="E44" s="16" t="str">
        <x:v>app/(tabs)/bookings/report-problem.tsx</x:v>
      </x:c>
      <x:c r="F44" s="16" t="str">
        <x:v>app/(tabs)/bookings/report-problem.tsx</x:v>
      </x:c>
      <x:c r="G44" s="16" t="str">
        <x:v>inventory</x:v>
      </x:c>
      <x:c r="H44" s="16" t="str"/>
      <x:c r="I44" s="16" t="str">
        <x:v>staging</x:v>
      </x:c>
      <x:c r="J44" s="16" t="str"/>
      <x:c r="K44" s="16" t="str"/>
      <x:c r="L44" s="16" t="str"/>
      <x:c r="M44" s="16" t="str"/>
      <x:c r="N44" s="16" t="str"/>
      <x:c r="O44" s="16" t="str"/>
      <x:c r="P44" s="16" t="str"/>
      <x:c r="Q44" s="16" t="str"/>
      <x:c r="R44" s="16" t="str"/>
      <x:c r="S44" s="16" t="str"/>
      <x:c r="T44" s="16" t="str"/>
      <x:c r="U44" s="16" t="str"/>
      <x:c r="V44" s="16" t="str"/>
      <x:c r="W44" s="16" t="str"/>
      <x:c r="X44" s="16" t="str"/>
      <x:c r="Y44" s="16" t="str"/>
      <x:c r="Z44" s="16" t="str"/>
      <x:c r="AA44" s="16" t="str"/>
      <x:c r="AB44" s="16" t="str"/>
      <x:c r="AC44" s="16" t="str"/>
      <x:c r="AD44" s="16" t="str"/>
      <x:c r="AE44" s="16" t="str"/>
      <x:c r="AF44" s="16" t="str"/>
      <x:c r="AG44" s="16" t="str"/>
      <x:c r="AH44" s="16" t="str"/>
      <x:c r="AI44" s="16" t="str"/>
      <x:c r="AJ44" s="16" t="str"/>
      <x:c r="AK44" s="16" t="str">
        <x:v>pending</x:v>
      </x:c>
      <x:c r="AL44" s="16" t="str"/>
      <x:c r="AM44" s="16" t="str"/>
      <x:c r="AN44" s="16" t="str"/>
      <x:c r="AO44" s="16" t="str"/>
      <x:c r="AP44" s="16" t="str">
        <x:v>pending</x:v>
      </x:c>
      <x:c r="AQ44" s="16" t="str">
        <x:v>Discovered from executable Expo Router tree; runtime coverage pending</x:v>
      </x:c>
    </x:row>
    <x:row r="45" ht="48" customHeight="1">
      <x:c r="A45" s="18" t="str">
        <x:v>ROUTE-013</x:v>
      </x:c>
      <x:c r="B45" s="16" t="str">
        <x:v>ROUTE-INVENTORY</x:v>
      </x:c>
      <x:c r="C45" s="16" t="str">
        <x:v>Reachable route coverage</x:v>
      </x:c>
      <x:c r="D45" s="16" t="str">
        <x:v>to classify</x:v>
      </x:c>
      <x:c r="E45" s="16" t="str">
        <x:v>app/(tabs)/bookings/session-feedback.tsx</x:v>
      </x:c>
      <x:c r="F45" s="16" t="str">
        <x:v>app/(tabs)/bookings/session-feedback.tsx</x:v>
      </x:c>
      <x:c r="G45" s="16" t="str">
        <x:v>inventory</x:v>
      </x:c>
      <x:c r="H45" s="16" t="str"/>
      <x:c r="I45" s="16" t="str">
        <x:v>staging</x:v>
      </x:c>
      <x:c r="J45" s="16" t="str"/>
      <x:c r="K45" s="16" t="str"/>
      <x:c r="L45" s="16" t="str"/>
      <x:c r="M45" s="16" t="str"/>
      <x:c r="N45" s="16" t="str"/>
      <x:c r="O45" s="16" t="str"/>
      <x:c r="P45" s="16" t="str"/>
      <x:c r="Q45" s="16" t="str"/>
      <x:c r="R45" s="16" t="str"/>
      <x:c r="S45" s="16" t="str"/>
      <x:c r="T45" s="16" t="str"/>
      <x:c r="U45" s="16" t="str"/>
      <x:c r="V45" s="16" t="str"/>
      <x:c r="W45" s="16" t="str"/>
      <x:c r="X45" s="16" t="str"/>
      <x:c r="Y45" s="16" t="str"/>
      <x:c r="Z45" s="16" t="str"/>
      <x:c r="AA45" s="16" t="str"/>
      <x:c r="AB45" s="16" t="str"/>
      <x:c r="AC45" s="16" t="str"/>
      <x:c r="AD45" s="16" t="str"/>
      <x:c r="AE45" s="16" t="str"/>
      <x:c r="AF45" s="16" t="str"/>
      <x:c r="AG45" s="16" t="str"/>
      <x:c r="AH45" s="16" t="str"/>
      <x:c r="AI45" s="16" t="str"/>
      <x:c r="AJ45" s="16" t="str"/>
      <x:c r="AK45" s="16" t="str">
        <x:v>pending</x:v>
      </x:c>
      <x:c r="AL45" s="16" t="str"/>
      <x:c r="AM45" s="16" t="str"/>
      <x:c r="AN45" s="16" t="str"/>
      <x:c r="AO45" s="16" t="str"/>
      <x:c r="AP45" s="16" t="str">
        <x:v>pending</x:v>
      </x:c>
      <x:c r="AQ45" s="16" t="str">
        <x:v>Discovered from executable Expo Router tree; runtime coverage pending</x:v>
      </x:c>
    </x:row>
    <x:row r="46" ht="48" customHeight="1">
      <x:c r="A46" s="18" t="str">
        <x:v>ROUTE-014</x:v>
      </x:c>
      <x:c r="B46" s="16" t="str">
        <x:v>parent_children</x:v>
      </x:c>
      <x:c r="C46" s="16" t="str">
        <x:v>Parent opens children</x:v>
      </x:c>
      <x:c r="D46" s="16" t="str">
        <x:v>parent</x:v>
      </x:c>
      <x:c r="E46" s="16" t="str">
        <x:v>app/(tabs)/children.tsx</x:v>
      </x:c>
      <x:c r="F46" s="16" t="str">
        <x:v>app/(tabs)/children.tsx</x:v>
      </x:c>
      <x:c r="G46" s="16" t="str">
        <x:v>responsive route load and configured non-mutating assertions</x:v>
      </x:c>
      <x:c r="H46" s="16" t="str">
        <x:v>iPhone 16 Pro responsive browser viewport</x:v>
      </x:c>
      <x:c r="I46" s="16" t="str">
        <x:v>local Expo web bundle backed by staging API</x:v>
      </x:c>
      <x:c r="J46" s="16" t="str">
        <x:v>/children</x:v>
      </x:c>
      <x:c r="K46" s="16" t="str">
        <x:v>Authenticated seeded role account and linked staging dataset</x:v>
      </x:c>
      <x:c r="L46" s="16" t="str">
        <x:v>1</x:v>
      </x:c>
      <x:c r="M46" s="16" t="str">
        <x:v>parent_children</x:v>
      </x:c>
      <x:c r="N46" s="16" t="str">
        <x:v>Navigate directly and execute the flow runner assertions without submitting a product mutation</x:v>
      </x:c>
      <x:c r="O46" s="16" t="str">
        <x:v>Resolve the intended route without a failed request runtime exception shared error state nested button horizontal overflow or product-text finding</x:v>
      </x:c>
      <x:c r="P46" s="16" t="str">
        <x:v>1/1 mapped flows returned status ok and severity none at 390px</x:v>
      </x:c>
      <x:c r="Q46" s="16" t="str">
        <x:v>Browser-observed role-scoped route requests</x:v>
      </x:c>
      <x:c r="R46" s="16" t="str">
        <x:v>No failed request detected; exact endpoint-by-endpoint reconciliation remains a separate audit gap</x:v>
      </x:c>
      <x:c r="S46" s="16" t="str"/>
      <x:c r="T46" s="16" t="str"/>
      <x:c r="U46" s="16" t="str">
        <x:v>No database mutation executed by this route-load regression</x:v>
      </x:c>
      <x:c r="V46" s="16" t="str">
        <x:v>Not directly exercised in this route-load regression</x:v>
      </x:c>
      <x:c r="W46" s="16" t="str">
        <x:v>Not reconciled in this route-load regression</x:v>
      </x:c>
      <x:c r="X46" s="16" t="str"/>
      <x:c r="Y46" s="16" t="str">
        <x:v>Sentry API unavailable; runner detected no runtime exception or console error classified as high or medium</x:v>
      </x:c>
      <x:c r="Z46" s="16" t="str">
        <x:v>parent</x:v>
      </x:c>
      <x:c r="AA46" s="16" t="str">
        <x:v>parent mapped route flow passed</x:v>
      </x:c>
      <x:c r="AB46" s="16" t="str">
        <x:v>automated route pass; manual visual corpus tracked separately</x:v>
      </x:c>
      <x:c r="AC46" s="16" t="str">
        <x:v>configured actions passed where present; otherwise route-load only</x:v>
      </x:c>
      <x:c r="AD46" s="16" t="str">
        <x:v>no automated high or medium finding</x:v>
      </x:c>
      <x:c r="AE46" s="16" t="str">
        <x:v>0 product-text findings</x:v>
      </x:c>
      <x:c r="AF46" s="16" t="str">
        <x:v>0 product-text findings</x:v>
      </x:c>
      <x:c r="AG46" s="16" t="str">
        <x:v>Shared React Native surface passed responsive runtime; native interaction remains blocked by host DevToolsSecurity</x:v>
      </x:c>
      <x:c r="AH46" s="16" t="str">
        <x:v>football product route</x:v>
      </x:c>
      <x:c r="AI46" s="16" t="str">
        <x:v>390px viewport with 0 horizontal overflow</x:v>
      </x:c>
      <x:c r="AJ46" s="16" t="str">
        <x:v>0 nested buttons; native semantic tree and VoiceOver remain unverified</x:v>
      </x:c>
      <x:c r="AK46" s="16" t="str">
        <x:v>passed</x:v>
      </x:c>
      <x:c r="AL46" s="16" t="str"/>
      <x:c r="AM46" s="16" t="str">
        <x:v>reviews/ios-native-audit/runtime/2026-07-31/report.merged.json</x:v>
      </x:c>
      <x:c r="AN46" s="16" t="str"/>
      <x:c r="AO46" s="16" t="str">
        <x:v>chore(audit): reconcile responsive route evidence</x:v>
      </x:c>
      <x:c r="AP46" s="16" t="str">
        <x:v>1/1 fresh mapped flows passed on 2026-07-31</x:v>
      </x:c>
      <x:c r="AQ46" s="16" t="str">
        <x:v>Non-destructive responsive route evidence only; exact API request IDs database RLS audit-event and native checks remain explicit separate gaps</x:v>
      </x:c>
    </x:row>
    <x:row r="47" ht="48" customHeight="1">
      <x:c r="A47" s="18" t="str">
        <x:v>ROUTE-015</x:v>
      </x:c>
      <x:c r="B47" s="16" t="str">
        <x:v>ROUTE-INVENTORY</x:v>
      </x:c>
      <x:c r="C47" s="16" t="str">
        <x:v>Reachable route coverage</x:v>
      </x:c>
      <x:c r="D47" s="16" t="str">
        <x:v>to classify</x:v>
      </x:c>
      <x:c r="E47" s="16" t="str">
        <x:v>app/(tabs)/club-hub.tsx</x:v>
      </x:c>
      <x:c r="F47" s="16" t="str">
        <x:v>app/(tabs)/club-hub.tsx</x:v>
      </x:c>
      <x:c r="G47" s="16" t="str">
        <x:v>inventory</x:v>
      </x:c>
      <x:c r="H47" s="16" t="str"/>
      <x:c r="I47" s="16" t="str">
        <x:v>staging</x:v>
      </x:c>
      <x:c r="J47" s="16" t="str"/>
      <x:c r="K47" s="16" t="str"/>
      <x:c r="L47" s="16" t="str"/>
      <x:c r="M47" s="16" t="str"/>
      <x:c r="N47" s="16" t="str"/>
      <x:c r="O47" s="16" t="str"/>
      <x:c r="P47" s="16" t="str"/>
      <x:c r="Q47" s="16" t="str"/>
      <x:c r="R47" s="16" t="str"/>
      <x:c r="S47" s="16" t="str"/>
      <x:c r="T47" s="16" t="str"/>
      <x:c r="U47" s="16" t="str"/>
      <x:c r="V47" s="16" t="str"/>
      <x:c r="W47" s="16" t="str"/>
      <x:c r="X47" s="16" t="str"/>
      <x:c r="Y47" s="16" t="str"/>
      <x:c r="Z47" s="16" t="str"/>
      <x:c r="AA47" s="16" t="str"/>
      <x:c r="AB47" s="16" t="str"/>
      <x:c r="AC47" s="16" t="str"/>
      <x:c r="AD47" s="16" t="str"/>
      <x:c r="AE47" s="16" t="str"/>
      <x:c r="AF47" s="16" t="str"/>
      <x:c r="AG47" s="16" t="str"/>
      <x:c r="AH47" s="16" t="str"/>
      <x:c r="AI47" s="16" t="str"/>
      <x:c r="AJ47" s="16" t="str"/>
      <x:c r="AK47" s="16" t="str">
        <x:v>pending</x:v>
      </x:c>
      <x:c r="AL47" s="16" t="str"/>
      <x:c r="AM47" s="16" t="str"/>
      <x:c r="AN47" s="16" t="str"/>
      <x:c r="AO47" s="16" t="str"/>
      <x:c r="AP47" s="16" t="str">
        <x:v>pending</x:v>
      </x:c>
      <x:c r="AQ47" s="16" t="str">
        <x:v>Discovered from executable Expo Router tree; runtime coverage pending</x:v>
      </x:c>
    </x:row>
    <x:row r="48" ht="48" customHeight="1">
      <x:c r="A48" s="18" t="str">
        <x:v>ROUTE-016</x:v>
      </x:c>
      <x:c r="B48" s="16" t="str">
        <x:v>ROUTE-INVENTORY</x:v>
      </x:c>
      <x:c r="C48" s="16" t="str">
        <x:v>Reachable route coverage</x:v>
      </x:c>
      <x:c r="D48" s="16" t="str">
        <x:v>to classify</x:v>
      </x:c>
      <x:c r="E48" s="16" t="str">
        <x:v>app/(tabs)/coach-profile.tsx</x:v>
      </x:c>
      <x:c r="F48" s="16" t="str">
        <x:v>app/(tabs)/coach-profile.tsx</x:v>
      </x:c>
      <x:c r="G48" s="16" t="str">
        <x:v>inventory</x:v>
      </x:c>
      <x:c r="H48" s="16" t="str"/>
      <x:c r="I48" s="16" t="str">
        <x:v>staging</x:v>
      </x:c>
      <x:c r="J48" s="16" t="str"/>
      <x:c r="K48" s="16" t="str"/>
      <x:c r="L48" s="16" t="str"/>
      <x:c r="M48" s="16" t="str"/>
      <x:c r="N48" s="16" t="str"/>
      <x:c r="O48" s="16" t="str"/>
      <x:c r="P48" s="16" t="str"/>
      <x:c r="Q48" s="16" t="str"/>
      <x:c r="R48" s="16" t="str"/>
      <x:c r="S48" s="16" t="str"/>
      <x:c r="T48" s="16" t="str"/>
      <x:c r="U48" s="16" t="str"/>
      <x:c r="V48" s="16" t="str"/>
      <x:c r="W48" s="16" t="str"/>
      <x:c r="X48" s="16" t="str"/>
      <x:c r="Y48" s="16" t="str"/>
      <x:c r="Z48" s="16" t="str"/>
      <x:c r="AA48" s="16" t="str"/>
      <x:c r="AB48" s="16" t="str"/>
      <x:c r="AC48" s="16" t="str"/>
      <x:c r="AD48" s="16" t="str"/>
      <x:c r="AE48" s="16" t="str"/>
      <x:c r="AF48" s="16" t="str"/>
      <x:c r="AG48" s="16" t="str"/>
      <x:c r="AH48" s="16" t="str"/>
      <x:c r="AI48" s="16" t="str"/>
      <x:c r="AJ48" s="16" t="str"/>
      <x:c r="AK48" s="16" t="str">
        <x:v>pending</x:v>
      </x:c>
      <x:c r="AL48" s="16" t="str"/>
      <x:c r="AM48" s="16" t="str"/>
      <x:c r="AN48" s="16" t="str"/>
      <x:c r="AO48" s="16" t="str"/>
      <x:c r="AP48" s="16" t="str">
        <x:v>pending</x:v>
      </x:c>
      <x:c r="AQ48" s="16" t="str">
        <x:v>Discovered from executable Expo Router tree; runtime coverage pending</x:v>
      </x:c>
    </x:row>
    <x:row r="49" ht="48" customHeight="1">
      <x:c r="A49" s="18" t="str">
        <x:v>ROUTE-017</x:v>
      </x:c>
      <x:c r="B49" s="16" t="str">
        <x:v>coach_earnings | coach_earnings_payment_instructions</x:v>
      </x:c>
      <x:c r="C49" s="16" t="str">
        <x:v>Coach opens earnings | Coach can open direct payment instructions</x:v>
      </x:c>
      <x:c r="D49" s="16" t="str">
        <x:v>coach</x:v>
      </x:c>
      <x:c r="E49" s="16" t="str">
        <x:v>app/(tabs)/earnings.tsx</x:v>
      </x:c>
      <x:c r="F49" s="16" t="str">
        <x:v>app/(tabs)/earnings.tsx</x:v>
      </x:c>
      <x:c r="G49" s="16" t="str">
        <x:v>responsive route load and configured non-mutating assertions</x:v>
      </x:c>
      <x:c r="H49" s="16" t="str">
        <x:v>iPhone 16 Pro responsive browser viewport</x:v>
      </x:c>
      <x:c r="I49" s="16" t="str">
        <x:v>local Expo web bundle backed by staging API</x:v>
      </x:c>
      <x:c r="J49" s="16" t="str">
        <x:v>/earnings</x:v>
      </x:c>
      <x:c r="K49" s="16" t="str">
        <x:v>Authenticated seeded role account and linked staging dataset</x:v>
      </x:c>
      <x:c r="L49" s="16" t="str">
        <x:v>1</x:v>
      </x:c>
      <x:c r="M49" s="16" t="str">
        <x:v>coach_earnings | coach_earnings_payment_instructions</x:v>
      </x:c>
      <x:c r="N49" s="16" t="str">
        <x:v>Navigate directly and execute the flow runner assertions without submitting a product mutation</x:v>
      </x:c>
      <x:c r="O49" s="16" t="str">
        <x:v>Resolve the intended route without a failed request runtime exception shared error state nested button horizontal overflow or product-text finding</x:v>
      </x:c>
      <x:c r="P49" s="16" t="str">
        <x:v>2/2 mapped flows returned status ok and severity none at 390px</x:v>
      </x:c>
      <x:c r="Q49" s="16" t="str">
        <x:v>Browser-observed role-scoped route requests</x:v>
      </x:c>
      <x:c r="R49" s="16" t="str">
        <x:v>No failed request detected; exact endpoint-by-endpoint reconciliation remains a separate audit gap</x:v>
      </x:c>
      <x:c r="S49" s="16" t="str"/>
      <x:c r="T49" s="16" t="str"/>
      <x:c r="U49" s="16" t="str">
        <x:v>No database mutation executed by this route-load regression</x:v>
      </x:c>
      <x:c r="V49" s="16" t="str">
        <x:v>Not directly exercised in this route-load regression</x:v>
      </x:c>
      <x:c r="W49" s="16" t="str">
        <x:v>Not reconciled in this route-load regression</x:v>
      </x:c>
      <x:c r="X49" s="16" t="str"/>
      <x:c r="Y49" s="16" t="str">
        <x:v>Sentry API unavailable; runner detected no runtime exception or console error classified as high or medium</x:v>
      </x:c>
      <x:c r="Z49" s="16" t="str">
        <x:v>coach</x:v>
      </x:c>
      <x:c r="AA49" s="16" t="str">
        <x:v>coach mapped route flow passed</x:v>
      </x:c>
      <x:c r="AB49" s="16" t="str">
        <x:v>automated route pass; manual visual corpus tracked separately</x:v>
      </x:c>
      <x:c r="AC49" s="16" t="str">
        <x:v>configured actions passed where present; otherwise route-load only</x:v>
      </x:c>
      <x:c r="AD49" s="16" t="str">
        <x:v>no automated high or medium finding</x:v>
      </x:c>
      <x:c r="AE49" s="16" t="str">
        <x:v>0 product-text findings</x:v>
      </x:c>
      <x:c r="AF49" s="16" t="str">
        <x:v>0 product-text findings</x:v>
      </x:c>
      <x:c r="AG49" s="16" t="str">
        <x:v>Shared React Native surface passed responsive runtime; native interaction remains blocked by host DevToolsSecurity</x:v>
      </x:c>
      <x:c r="AH49" s="16" t="str">
        <x:v>football product route</x:v>
      </x:c>
      <x:c r="AI49" s="16" t="str">
        <x:v>390px viewport with 0 horizontal overflow</x:v>
      </x:c>
      <x:c r="AJ49" s="16" t="str">
        <x:v>0 nested buttons; native semantic tree and VoiceOver remain unverified</x:v>
      </x:c>
      <x:c r="AK49" s="16" t="str">
        <x:v>passed</x:v>
      </x:c>
      <x:c r="AL49" s="16" t="str"/>
      <x:c r="AM49" s="16" t="str">
        <x:v>reviews/ios-native-audit/runtime/2026-07-31/report.merged.json</x:v>
      </x:c>
      <x:c r="AN49" s="16" t="str"/>
      <x:c r="AO49" s="16" t="str">
        <x:v>chore(audit): reconcile responsive route evidence</x:v>
      </x:c>
      <x:c r="AP49" s="16" t="str">
        <x:v>2/2 fresh mapped flows passed on 2026-07-31</x:v>
      </x:c>
      <x:c r="AQ49" s="16" t="str">
        <x:v>Non-destructive responsive route evidence only; exact API request IDs database RLS audit-event and native checks remain explicit separate gaps</x:v>
      </x:c>
    </x:row>
    <x:row r="50" ht="48" customHeight="1">
      <x:c r="A50" s="18" t="str">
        <x:v>ROUTE-018</x:v>
      </x:c>
      <x:c r="B50" s="16" t="str">
        <x:v>ROUTE-INVENTORY</x:v>
      </x:c>
      <x:c r="C50" s="16" t="str">
        <x:v>Reachable route coverage</x:v>
      </x:c>
      <x:c r="D50" s="16" t="str">
        <x:v>to classify</x:v>
      </x:c>
      <x:c r="E50" s="16" t="str">
        <x:v>app/(tabs)/edit-profile.tsx</x:v>
      </x:c>
      <x:c r="F50" s="16" t="str">
        <x:v>app/(tabs)/edit-profile.tsx</x:v>
      </x:c>
      <x:c r="G50" s="16" t="str">
        <x:v>inventory</x:v>
      </x:c>
      <x:c r="H50" s="16" t="str"/>
      <x:c r="I50" s="16" t="str">
        <x:v>staging</x:v>
      </x:c>
      <x:c r="J50" s="16" t="str"/>
      <x:c r="K50" s="16" t="str"/>
      <x:c r="L50" s="16" t="str"/>
      <x:c r="M50" s="16" t="str"/>
      <x:c r="N50" s="16" t="str"/>
      <x:c r="O50" s="16" t="str"/>
      <x:c r="P50" s="16" t="str"/>
      <x:c r="Q50" s="16" t="str"/>
      <x:c r="R50" s="16" t="str"/>
      <x:c r="S50" s="16" t="str"/>
      <x:c r="T50" s="16" t="str"/>
      <x:c r="U50" s="16" t="str"/>
      <x:c r="V50" s="16" t="str"/>
      <x:c r="W50" s="16" t="str"/>
      <x:c r="X50" s="16" t="str"/>
      <x:c r="Y50" s="16" t="str"/>
      <x:c r="Z50" s="16" t="str"/>
      <x:c r="AA50" s="16" t="str"/>
      <x:c r="AB50" s="16" t="str"/>
      <x:c r="AC50" s="16" t="str"/>
      <x:c r="AD50" s="16" t="str"/>
      <x:c r="AE50" s="16" t="str"/>
      <x:c r="AF50" s="16" t="str"/>
      <x:c r="AG50" s="16" t="str"/>
      <x:c r="AH50" s="16" t="str"/>
      <x:c r="AI50" s="16" t="str"/>
      <x:c r="AJ50" s="16" t="str"/>
      <x:c r="AK50" s="16" t="str">
        <x:v>pending</x:v>
      </x:c>
      <x:c r="AL50" s="16" t="str"/>
      <x:c r="AM50" s="16" t="str"/>
      <x:c r="AN50" s="16" t="str"/>
      <x:c r="AO50" s="16" t="str"/>
      <x:c r="AP50" s="16" t="str">
        <x:v>pending</x:v>
      </x:c>
      <x:c r="AQ50" s="16" t="str">
        <x:v>Discovered from executable Expo Router tree; runtime coverage pending</x:v>
      </x:c>
    </x:row>
    <x:row r="51" ht="48" customHeight="1">
      <x:c r="A51" s="18" t="str">
        <x:v>ROUTE-019</x:v>
      </x:c>
      <x:c r="B51" s="16" t="str">
        <x:v>coach_feed | parent_feed | athlete_feed</x:v>
      </x:c>
      <x:c r="C51" s="16" t="str">
        <x:v>Coach opens feed | Parent opens feed | Athlete opens feed</x:v>
      </x:c>
      <x:c r="D51" s="16" t="str">
        <x:v>coach parent athlete</x:v>
      </x:c>
      <x:c r="E51" s="16" t="str">
        <x:v>app/(tabs)/feed.tsx</x:v>
      </x:c>
      <x:c r="F51" s="16" t="str">
        <x:v>app/(tabs)/feed.tsx</x:v>
      </x:c>
      <x:c r="G51" s="16" t="str">
        <x:v>responsive route load and configured non-mutating assertions</x:v>
      </x:c>
      <x:c r="H51" s="16" t="str">
        <x:v>iPhone 16 Pro responsive browser viewport</x:v>
      </x:c>
      <x:c r="I51" s="16" t="str">
        <x:v>local Expo web bundle backed by staging API</x:v>
      </x:c>
      <x:c r="J51" s="16" t="str">
        <x:v>/feed</x:v>
      </x:c>
      <x:c r="K51" s="16" t="str">
        <x:v>Authenticated seeded role account and linked staging dataset</x:v>
      </x:c>
      <x:c r="L51" s="16" t="str">
        <x:v>1</x:v>
      </x:c>
      <x:c r="M51" s="16" t="str">
        <x:v>coach_feed | parent_feed | athlete_feed</x:v>
      </x:c>
      <x:c r="N51" s="16" t="str">
        <x:v>Navigate directly and execute the flow runner assertions without submitting a product mutation</x:v>
      </x:c>
      <x:c r="O51" s="16" t="str">
        <x:v>Resolve the intended route without a failed request runtime exception shared error state nested button horizontal overflow or product-text finding</x:v>
      </x:c>
      <x:c r="P51" s="16" t="str">
        <x:v>3/3 mapped flows returned status ok and severity none at 390px</x:v>
      </x:c>
      <x:c r="Q51" s="16" t="str">
        <x:v>Browser-observed role-scoped route requests</x:v>
      </x:c>
      <x:c r="R51" s="16" t="str">
        <x:v>No failed request detected; exact endpoint-by-endpoint reconciliation remains a separate audit gap</x:v>
      </x:c>
      <x:c r="S51" s="16" t="str"/>
      <x:c r="T51" s="16" t="str"/>
      <x:c r="U51" s="16" t="str">
        <x:v>No database mutation executed by this route-load regression</x:v>
      </x:c>
      <x:c r="V51" s="16" t="str">
        <x:v>Not directly exercised in this route-load regression</x:v>
      </x:c>
      <x:c r="W51" s="16" t="str">
        <x:v>Not reconciled in this route-load regression</x:v>
      </x:c>
      <x:c r="X51" s="16" t="str"/>
      <x:c r="Y51" s="16" t="str">
        <x:v>Sentry API unavailable; runner detected no runtime exception or console error classified as high or medium</x:v>
      </x:c>
      <x:c r="Z51" s="16" t="str">
        <x:v>coach parent athlete</x:v>
      </x:c>
      <x:c r="AA51" s="16" t="str">
        <x:v>coach, parent, athlete mapped route flows passed</x:v>
      </x:c>
      <x:c r="AB51" s="16" t="str">
        <x:v>automated route pass; manual visual corpus tracked separately</x:v>
      </x:c>
      <x:c r="AC51" s="16" t="str">
        <x:v>configured actions passed where present; otherwise route-load only</x:v>
      </x:c>
      <x:c r="AD51" s="16" t="str">
        <x:v>no automated high or medium finding</x:v>
      </x:c>
      <x:c r="AE51" s="16" t="str">
        <x:v>0 product-text findings</x:v>
      </x:c>
      <x:c r="AF51" s="16" t="str">
        <x:v>0 product-text findings</x:v>
      </x:c>
      <x:c r="AG51" s="16" t="str">
        <x:v>Shared React Native surface passed responsive runtime; native interaction remains blocked by host DevToolsSecurity</x:v>
      </x:c>
      <x:c r="AH51" s="16" t="str">
        <x:v>football product route</x:v>
      </x:c>
      <x:c r="AI51" s="16" t="str">
        <x:v>390px viewport with 0 horizontal overflow</x:v>
      </x:c>
      <x:c r="AJ51" s="16" t="str">
        <x:v>0 nested buttons; native semantic tree and VoiceOver remain unverified</x:v>
      </x:c>
      <x:c r="AK51" s="16" t="str">
        <x:v>passed</x:v>
      </x:c>
      <x:c r="AL51" s="16" t="str"/>
      <x:c r="AM51" s="16" t="str">
        <x:v>reviews/ios-native-audit/runtime/2026-07-31/report.merged.json</x:v>
      </x:c>
      <x:c r="AN51" s="16" t="str"/>
      <x:c r="AO51" s="16" t="str">
        <x:v>chore(audit): reconcile responsive route evidence</x:v>
      </x:c>
      <x:c r="AP51" s="16" t="str">
        <x:v>3/3 fresh mapped flows passed on 2026-07-31</x:v>
      </x:c>
      <x:c r="AQ51" s="16" t="str">
        <x:v>Non-destructive responsive route evidence only; exact API request IDs database RLS audit-event and native checks remain explicit separate gaps</x:v>
      </x:c>
    </x:row>
    <x:row r="52" ht="48" customHeight="1">
      <x:c r="A52" s="18" t="str">
        <x:v>ROUTE-020</x:v>
      </x:c>
      <x:c r="B52" s="16" t="str">
        <x:v>coach_home | parent_home | athlete_home</x:v>
      </x:c>
      <x:c r="C52" s="16" t="str">
        <x:v>Coach opens dashboard | Parent opens dashboard | Athlete opens dashboard</x:v>
      </x:c>
      <x:c r="D52" s="16" t="str">
        <x:v>coach parent athlete</x:v>
      </x:c>
      <x:c r="E52" s="16" t="str">
        <x:v>app/(tabs)/index.tsx</x:v>
      </x:c>
      <x:c r="F52" s="16" t="str">
        <x:v>app/(tabs)/index.tsx</x:v>
      </x:c>
      <x:c r="G52" s="16" t="str">
        <x:v>responsive route load and configured non-mutating assertions</x:v>
      </x:c>
      <x:c r="H52" s="16" t="str">
        <x:v>iPhone 16 Pro responsive browser viewport</x:v>
      </x:c>
      <x:c r="I52" s="16" t="str">
        <x:v>local Expo web bundle backed by staging API</x:v>
      </x:c>
      <x:c r="J52" s="16" t="str">
        <x:v>/</x:v>
      </x:c>
      <x:c r="K52" s="16" t="str">
        <x:v>Authenticated seeded role account and linked staging dataset</x:v>
      </x:c>
      <x:c r="L52" s="16" t="str">
        <x:v>1</x:v>
      </x:c>
      <x:c r="M52" s="16" t="str">
        <x:v>coach_home | parent_home | athlete_home</x:v>
      </x:c>
      <x:c r="N52" s="16" t="str">
        <x:v>Navigate directly and execute the flow runner assertions without submitting a product mutation</x:v>
      </x:c>
      <x:c r="O52" s="16" t="str">
        <x:v>Resolve the intended route without a failed request runtime exception shared error state nested button horizontal overflow or product-text finding</x:v>
      </x:c>
      <x:c r="P52" s="16" t="str">
        <x:v>3/3 mapped flows returned status ok and severity none at 390px</x:v>
      </x:c>
      <x:c r="Q52" s="16" t="str">
        <x:v>Browser-observed role-scoped route requests</x:v>
      </x:c>
      <x:c r="R52" s="16" t="str">
        <x:v>No failed request detected; exact endpoint-by-endpoint reconciliation remains a separate audit gap</x:v>
      </x:c>
      <x:c r="S52" s="16" t="str"/>
      <x:c r="T52" s="16" t="str"/>
      <x:c r="U52" s="16" t="str">
        <x:v>No database mutation executed by this route-load regression</x:v>
      </x:c>
      <x:c r="V52" s="16" t="str">
        <x:v>Not directly exercised in this route-load regression</x:v>
      </x:c>
      <x:c r="W52" s="16" t="str">
        <x:v>Not reconciled in this route-load regression</x:v>
      </x:c>
      <x:c r="X52" s="16" t="str"/>
      <x:c r="Y52" s="16" t="str">
        <x:v>Sentry API unavailable; runner detected no runtime exception or console error classified as high or medium</x:v>
      </x:c>
      <x:c r="Z52" s="16" t="str">
        <x:v>coach parent athlete</x:v>
      </x:c>
      <x:c r="AA52" s="16" t="str">
        <x:v>coach, parent, athlete mapped route flows passed</x:v>
      </x:c>
      <x:c r="AB52" s="16" t="str">
        <x:v>automated route pass; manual visual corpus tracked separately</x:v>
      </x:c>
      <x:c r="AC52" s="16" t="str">
        <x:v>configured actions passed where present; otherwise route-load only</x:v>
      </x:c>
      <x:c r="AD52" s="16" t="str">
        <x:v>no automated high or medium finding</x:v>
      </x:c>
      <x:c r="AE52" s="16" t="str">
        <x:v>0 product-text findings</x:v>
      </x:c>
      <x:c r="AF52" s="16" t="str">
        <x:v>0 product-text findings</x:v>
      </x:c>
      <x:c r="AG52" s="16" t="str">
        <x:v>Shared React Native surface passed responsive runtime; native interaction remains blocked by host DevToolsSecurity</x:v>
      </x:c>
      <x:c r="AH52" s="16" t="str">
        <x:v>football product route</x:v>
      </x:c>
      <x:c r="AI52" s="16" t="str">
        <x:v>390px viewport with 0 horizontal overflow</x:v>
      </x:c>
      <x:c r="AJ52" s="16" t="str">
        <x:v>0 nested buttons; native semantic tree and VoiceOver remain unverified</x:v>
      </x:c>
      <x:c r="AK52" s="16" t="str">
        <x:v>passed</x:v>
      </x:c>
      <x:c r="AL52" s="16" t="str"/>
      <x:c r="AM52" s="16" t="str">
        <x:v>reviews/ios-native-audit/runtime/2026-07-31/report.merged.json</x:v>
      </x:c>
      <x:c r="AN52" s="16" t="str"/>
      <x:c r="AO52" s="16" t="str">
        <x:v>chore(audit): reconcile responsive route evidence</x:v>
      </x:c>
      <x:c r="AP52" s="16" t="str">
        <x:v>3/3 fresh mapped flows passed on 2026-07-31</x:v>
      </x:c>
      <x:c r="AQ52" s="16" t="str">
        <x:v>Non-destructive responsive route evidence only; exact API request IDs database RLS audit-event and native checks remain explicit separate gaps</x:v>
      </x:c>
    </x:row>
    <x:row r="53" ht="48" customHeight="1">
      <x:c r="A53" s="18" t="str">
        <x:v>ROUTE-021</x:v>
      </x:c>
      <x:c r="B53" s="16" t="str">
        <x:v>coach_messages | parent_messages | athlete_messages</x:v>
      </x:c>
      <x:c r="C53" s="16" t="str">
        <x:v>Coach opens messages | Parent opens messages | Athlete opens messages</x:v>
      </x:c>
      <x:c r="D53" s="16" t="str">
        <x:v>coach parent athlete</x:v>
      </x:c>
      <x:c r="E53" s="16" t="str">
        <x:v>app/(tabs)/messages.tsx</x:v>
      </x:c>
      <x:c r="F53" s="16" t="str">
        <x:v>app/(tabs)/messages.tsx</x:v>
      </x:c>
      <x:c r="G53" s="16" t="str">
        <x:v>responsive route load and configured non-mutating assertions</x:v>
      </x:c>
      <x:c r="H53" s="16" t="str">
        <x:v>iPhone 16 Pro responsive browser viewport</x:v>
      </x:c>
      <x:c r="I53" s="16" t="str">
        <x:v>local Expo web bundle backed by staging API</x:v>
      </x:c>
      <x:c r="J53" s="16" t="str">
        <x:v>/messages</x:v>
      </x:c>
      <x:c r="K53" s="16" t="str">
        <x:v>Authenticated seeded role account and linked staging dataset</x:v>
      </x:c>
      <x:c r="L53" s="16" t="str">
        <x:v>1</x:v>
      </x:c>
      <x:c r="M53" s="16" t="str">
        <x:v>coach_messages | parent_messages | athlete_messages</x:v>
      </x:c>
      <x:c r="N53" s="16" t="str">
        <x:v>Navigate directly and execute the flow runner assertions without submitting a product mutation</x:v>
      </x:c>
      <x:c r="O53" s="16" t="str">
        <x:v>Resolve the intended route without a failed request runtime exception shared error state nested button horizontal overflow or product-text finding</x:v>
      </x:c>
      <x:c r="P53" s="16" t="str">
        <x:v>3/3 mapped flows returned status ok and severity none at 390px</x:v>
      </x:c>
      <x:c r="Q53" s="16" t="str">
        <x:v>Browser-observed role-scoped route requests</x:v>
      </x:c>
      <x:c r="R53" s="16" t="str">
        <x:v>No failed request detected; exact endpoint-by-endpoint reconciliation remains a separate audit gap</x:v>
      </x:c>
      <x:c r="S53" s="16" t="str"/>
      <x:c r="T53" s="16" t="str"/>
      <x:c r="U53" s="16" t="str">
        <x:v>No database mutation executed by this route-load regression</x:v>
      </x:c>
      <x:c r="V53" s="16" t="str">
        <x:v>Not directly exercised in this route-load regression</x:v>
      </x:c>
      <x:c r="W53" s="16" t="str">
        <x:v>Not reconciled in this route-load regression</x:v>
      </x:c>
      <x:c r="X53" s="16" t="str"/>
      <x:c r="Y53" s="16" t="str">
        <x:v>Sentry API unavailable; runner detected no runtime exception or console error classified as high or medium</x:v>
      </x:c>
      <x:c r="Z53" s="16" t="str">
        <x:v>coach parent athlete</x:v>
      </x:c>
      <x:c r="AA53" s="16" t="str">
        <x:v>coach, parent, athlete mapped route flows passed</x:v>
      </x:c>
      <x:c r="AB53" s="16" t="str">
        <x:v>automated route pass; manual visual corpus tracked separately</x:v>
      </x:c>
      <x:c r="AC53" s="16" t="str">
        <x:v>configured actions passed where present; otherwise route-load only</x:v>
      </x:c>
      <x:c r="AD53" s="16" t="str">
        <x:v>no automated high or medium finding</x:v>
      </x:c>
      <x:c r="AE53" s="16" t="str">
        <x:v>0 product-text findings</x:v>
      </x:c>
      <x:c r="AF53" s="16" t="str">
        <x:v>0 product-text findings</x:v>
      </x:c>
      <x:c r="AG53" s="16" t="str">
        <x:v>Shared React Native surface passed responsive runtime; native interaction remains blocked by host DevToolsSecurity</x:v>
      </x:c>
      <x:c r="AH53" s="16" t="str">
        <x:v>football product route</x:v>
      </x:c>
      <x:c r="AI53" s="16" t="str">
        <x:v>390px viewport with 0 horizontal overflow</x:v>
      </x:c>
      <x:c r="AJ53" s="16" t="str">
        <x:v>0 nested buttons; native semantic tree and VoiceOver remain unverified</x:v>
      </x:c>
      <x:c r="AK53" s="16" t="str">
        <x:v>passed</x:v>
      </x:c>
      <x:c r="AL53" s="16" t="str"/>
      <x:c r="AM53" s="16" t="str">
        <x:v>reviews/ios-native-audit/runtime/2026-07-31/report.merged.json</x:v>
      </x:c>
      <x:c r="AN53" s="16" t="str"/>
      <x:c r="AO53" s="16" t="str">
        <x:v>chore(audit): reconcile responsive route evidence</x:v>
      </x:c>
      <x:c r="AP53" s="16" t="str">
        <x:v>3/3 fresh mapped flows passed on 2026-07-31</x:v>
      </x:c>
      <x:c r="AQ53" s="16" t="str">
        <x:v>Non-destructive responsive route evidence only; exact API request IDs database RLS audit-event and native checks remain explicit separate gaps</x:v>
      </x:c>
    </x:row>
    <x:row r="54" ht="48" customHeight="1">
      <x:c r="A54" s="18" t="str">
        <x:v>ROUTE-022</x:v>
      </x:c>
      <x:c r="B54" s="16" t="str">
        <x:v>ROUTE-INVENTORY</x:v>
      </x:c>
      <x:c r="C54" s="16" t="str">
        <x:v>Reachable route coverage</x:v>
      </x:c>
      <x:c r="D54" s="16" t="str">
        <x:v>to classify</x:v>
      </x:c>
      <x:c r="E54" s="16" t="str">
        <x:v>app/(tabs)/more.tsx</x:v>
      </x:c>
      <x:c r="F54" s="16" t="str">
        <x:v>app/(tabs)/more.tsx</x:v>
      </x:c>
      <x:c r="G54" s="16" t="str">
        <x:v>inventory</x:v>
      </x:c>
      <x:c r="H54" s="16" t="str"/>
      <x:c r="I54" s="16" t="str">
        <x:v>staging</x:v>
      </x:c>
      <x:c r="J54" s="16" t="str"/>
      <x:c r="K54" s="16" t="str"/>
      <x:c r="L54" s="16" t="str"/>
      <x:c r="M54" s="16" t="str"/>
      <x:c r="N54" s="16" t="str"/>
      <x:c r="O54" s="16" t="str"/>
      <x:c r="P54" s="16" t="str"/>
      <x:c r="Q54" s="16" t="str"/>
      <x:c r="R54" s="16" t="str"/>
      <x:c r="S54" s="16" t="str"/>
      <x:c r="T54" s="16" t="str"/>
      <x:c r="U54" s="16" t="str"/>
      <x:c r="V54" s="16" t="str"/>
      <x:c r="W54" s="16" t="str"/>
      <x:c r="X54" s="16" t="str"/>
      <x:c r="Y54" s="16" t="str"/>
      <x:c r="Z54" s="16" t="str"/>
      <x:c r="AA54" s="16" t="str"/>
      <x:c r="AB54" s="16" t="str"/>
      <x:c r="AC54" s="16" t="str"/>
      <x:c r="AD54" s="16" t="str"/>
      <x:c r="AE54" s="16" t="str"/>
      <x:c r="AF54" s="16" t="str"/>
      <x:c r="AG54" s="16" t="str"/>
      <x:c r="AH54" s="16" t="str"/>
      <x:c r="AI54" s="16" t="str"/>
      <x:c r="AJ54" s="16" t="str"/>
      <x:c r="AK54" s="16" t="str">
        <x:v>pending</x:v>
      </x:c>
      <x:c r="AL54" s="16" t="str"/>
      <x:c r="AM54" s="16" t="str"/>
      <x:c r="AN54" s="16" t="str"/>
      <x:c r="AO54" s="16" t="str"/>
      <x:c r="AP54" s="16" t="str">
        <x:v>pending</x:v>
      </x:c>
      <x:c r="AQ54" s="16" t="str">
        <x:v>Discovered from executable Expo Router tree; runtime coverage pending</x:v>
      </x:c>
    </x:row>
    <x:row r="55" ht="48" customHeight="1">
      <x:c r="A55" s="18" t="str">
        <x:v>ROUTE-023</x:v>
      </x:c>
      <x:c r="B55" s="16" t="str">
        <x:v>ROUTE-INVENTORY</x:v>
      </x:c>
      <x:c r="C55" s="16" t="str">
        <x:v>Reachable route coverage</x:v>
      </x:c>
      <x:c r="D55" s="16" t="str">
        <x:v>to classify</x:v>
      </x:c>
      <x:c r="E55" s="16" t="str">
        <x:v>app/(tabs)/notifications.tsx</x:v>
      </x:c>
      <x:c r="F55" s="16" t="str">
        <x:v>app/(tabs)/notifications.tsx</x:v>
      </x:c>
      <x:c r="G55" s="16" t="str">
        <x:v>inventory</x:v>
      </x:c>
      <x:c r="H55" s="16" t="str"/>
      <x:c r="I55" s="16" t="str">
        <x:v>staging</x:v>
      </x:c>
      <x:c r="J55" s="16" t="str"/>
      <x:c r="K55" s="16" t="str"/>
      <x:c r="L55" s="16" t="str"/>
      <x:c r="M55" s="16" t="str"/>
      <x:c r="N55" s="16" t="str"/>
      <x:c r="O55" s="16" t="str"/>
      <x:c r="P55" s="16" t="str"/>
      <x:c r="Q55" s="16" t="str"/>
      <x:c r="R55" s="16" t="str"/>
      <x:c r="S55" s="16" t="str"/>
      <x:c r="T55" s="16" t="str"/>
      <x:c r="U55" s="16" t="str"/>
      <x:c r="V55" s="16" t="str"/>
      <x:c r="W55" s="16" t="str"/>
      <x:c r="X55" s="16" t="str"/>
      <x:c r="Y55" s="16" t="str"/>
      <x:c r="Z55" s="16" t="str"/>
      <x:c r="AA55" s="16" t="str"/>
      <x:c r="AB55" s="16" t="str"/>
      <x:c r="AC55" s="16" t="str"/>
      <x:c r="AD55" s="16" t="str"/>
      <x:c r="AE55" s="16" t="str"/>
      <x:c r="AF55" s="16" t="str"/>
      <x:c r="AG55" s="16" t="str"/>
      <x:c r="AH55" s="16" t="str"/>
      <x:c r="AI55" s="16" t="str"/>
      <x:c r="AJ55" s="16" t="str"/>
      <x:c r="AK55" s="16" t="str">
        <x:v>pending</x:v>
      </x:c>
      <x:c r="AL55" s="16" t="str"/>
      <x:c r="AM55" s="16" t="str"/>
      <x:c r="AN55" s="16" t="str"/>
      <x:c r="AO55" s="16" t="str"/>
      <x:c r="AP55" s="16" t="str">
        <x:v>pending</x:v>
      </x:c>
      <x:c r="AQ55" s="16" t="str">
        <x:v>Discovered from executable Expo Router tree; runtime coverage pending</x:v>
      </x:c>
    </x:row>
    <x:row r="56" ht="48" customHeight="1">
      <x:c r="A56" s="18" t="str">
        <x:v>ROUTE-024</x:v>
      </x:c>
      <x:c r="B56" s="16" t="str">
        <x:v>ROUTE-INVENTORY</x:v>
      </x:c>
      <x:c r="C56" s="16" t="str">
        <x:v>Reachable route coverage</x:v>
      </x:c>
      <x:c r="D56" s="16" t="str">
        <x:v>to classify</x:v>
      </x:c>
      <x:c r="E56" s="16" t="str">
        <x:v>app/(tabs)/profile.tsx</x:v>
      </x:c>
      <x:c r="F56" s="16" t="str">
        <x:v>app/(tabs)/profile.tsx</x:v>
      </x:c>
      <x:c r="G56" s="16" t="str">
        <x:v>inventory</x:v>
      </x:c>
      <x:c r="H56" s="16" t="str"/>
      <x:c r="I56" s="16" t="str">
        <x:v>staging</x:v>
      </x:c>
      <x:c r="J56" s="16" t="str"/>
      <x:c r="K56" s="16" t="str"/>
      <x:c r="L56" s="16" t="str"/>
      <x:c r="M56" s="16" t="str"/>
      <x:c r="N56" s="16" t="str"/>
      <x:c r="O56" s="16" t="str"/>
      <x:c r="P56" s="16" t="str"/>
      <x:c r="Q56" s="16" t="str"/>
      <x:c r="R56" s="16" t="str"/>
      <x:c r="S56" s="16" t="str"/>
      <x:c r="T56" s="16" t="str"/>
      <x:c r="U56" s="16" t="str"/>
      <x:c r="V56" s="16" t="str"/>
      <x:c r="W56" s="16" t="str"/>
      <x:c r="X56" s="16" t="str"/>
      <x:c r="Y56" s="16" t="str"/>
      <x:c r="Z56" s="16" t="str"/>
      <x:c r="AA56" s="16" t="str"/>
      <x:c r="AB56" s="16" t="str"/>
      <x:c r="AC56" s="16" t="str"/>
      <x:c r="AD56" s="16" t="str"/>
      <x:c r="AE56" s="16" t="str"/>
      <x:c r="AF56" s="16" t="str"/>
      <x:c r="AG56" s="16" t="str"/>
      <x:c r="AH56" s="16" t="str"/>
      <x:c r="AI56" s="16" t="str"/>
      <x:c r="AJ56" s="16" t="str"/>
      <x:c r="AK56" s="16" t="str">
        <x:v>pending</x:v>
      </x:c>
      <x:c r="AL56" s="16" t="str"/>
      <x:c r="AM56" s="16" t="str"/>
      <x:c r="AN56" s="16" t="str"/>
      <x:c r="AO56" s="16" t="str"/>
      <x:c r="AP56" s="16" t="str">
        <x:v>pending</x:v>
      </x:c>
      <x:c r="AQ56" s="16" t="str">
        <x:v>Discovered from executable Expo Router tree; runtime coverage pending</x:v>
      </x:c>
    </x:row>
    <x:row r="57" ht="48" customHeight="1">
      <x:c r="A57" s="18" t="str">
        <x:v>ROUTE-025</x:v>
      </x:c>
      <x:c r="B57" s="16" t="str">
        <x:v>ROUTE-INVENTORY</x:v>
      </x:c>
      <x:c r="C57" s="16" t="str">
        <x:v>Reachable route coverage</x:v>
      </x:c>
      <x:c r="D57" s="16" t="str">
        <x:v>to classify</x:v>
      </x:c>
      <x:c r="E57" s="16" t="str">
        <x:v>app/(tabs)/roster.tsx</x:v>
      </x:c>
      <x:c r="F57" s="16" t="str">
        <x:v>app/(tabs)/roster.tsx</x:v>
      </x:c>
      <x:c r="G57" s="16" t="str">
        <x:v>inventory</x:v>
      </x:c>
      <x:c r="H57" s="16" t="str"/>
      <x:c r="I57" s="16" t="str">
        <x:v>staging</x:v>
      </x:c>
      <x:c r="J57" s="16" t="str"/>
      <x:c r="K57" s="16" t="str"/>
      <x:c r="L57" s="16" t="str"/>
      <x:c r="M57" s="16" t="str"/>
      <x:c r="N57" s="16" t="str"/>
      <x:c r="O57" s="16" t="str"/>
      <x:c r="P57" s="16" t="str"/>
      <x:c r="Q57" s="16" t="str"/>
      <x:c r="R57" s="16" t="str"/>
      <x:c r="S57" s="16" t="str"/>
      <x:c r="T57" s="16" t="str"/>
      <x:c r="U57" s="16" t="str"/>
      <x:c r="V57" s="16" t="str"/>
      <x:c r="W57" s="16" t="str"/>
      <x:c r="X57" s="16" t="str"/>
      <x:c r="Y57" s="16" t="str"/>
      <x:c r="Z57" s="16" t="str"/>
      <x:c r="AA57" s="16" t="str"/>
      <x:c r="AB57" s="16" t="str"/>
      <x:c r="AC57" s="16" t="str"/>
      <x:c r="AD57" s="16" t="str"/>
      <x:c r="AE57" s="16" t="str"/>
      <x:c r="AF57" s="16" t="str"/>
      <x:c r="AG57" s="16" t="str"/>
      <x:c r="AH57" s="16" t="str"/>
      <x:c r="AI57" s="16" t="str"/>
      <x:c r="AJ57" s="16" t="str"/>
      <x:c r="AK57" s="16" t="str">
        <x:v>pending</x:v>
      </x:c>
      <x:c r="AL57" s="16" t="str"/>
      <x:c r="AM57" s="16" t="str"/>
      <x:c r="AN57" s="16" t="str"/>
      <x:c r="AO57" s="16" t="str"/>
      <x:c r="AP57" s="16" t="str">
        <x:v>pending</x:v>
      </x:c>
      <x:c r="AQ57" s="16" t="str">
        <x:v>Discovered from executable Expo Router tree; runtime coverage pending</x:v>
      </x:c>
    </x:row>
    <x:row r="58" ht="48" customHeight="1">
      <x:c r="A58" s="18" t="str">
        <x:v>ROUTE-026</x:v>
      </x:c>
      <x:c r="B58" s="16" t="str">
        <x:v>coach_schedule | coach_schedule_location_modal_actions</x:v>
      </x:c>
      <x:c r="C58" s="16" t="str">
        <x:v>Coach opens schedule | Coach can open day editor location modal actions</x:v>
      </x:c>
      <x:c r="D58" s="16" t="str">
        <x:v>coach</x:v>
      </x:c>
      <x:c r="E58" s="16" t="str">
        <x:v>app/(tabs)/schedule.tsx</x:v>
      </x:c>
      <x:c r="F58" s="16" t="str">
        <x:v>app/(tabs)/schedule.tsx</x:v>
      </x:c>
      <x:c r="G58" s="16" t="str">
        <x:v>responsive route load and configured non-mutating assertions</x:v>
      </x:c>
      <x:c r="H58" s="16" t="str">
        <x:v>iPhone 16 Pro responsive browser viewport</x:v>
      </x:c>
      <x:c r="I58" s="16" t="str">
        <x:v>local Expo web bundle backed by staging API</x:v>
      </x:c>
      <x:c r="J58" s="16" t="str">
        <x:v>/schedule | /schedule?segment=availability</x:v>
      </x:c>
      <x:c r="K58" s="16" t="str">
        <x:v>Authenticated seeded role account and linked staging dataset</x:v>
      </x:c>
      <x:c r="L58" s="16" t="str">
        <x:v>1</x:v>
      </x:c>
      <x:c r="M58" s="16" t="str">
        <x:v>coach_schedule | coach_schedule_location_modal_actions</x:v>
      </x:c>
      <x:c r="N58" s="16" t="str">
        <x:v>Navigate directly and execute the flow runner assertions without submitting a product mutation</x:v>
      </x:c>
      <x:c r="O58" s="16" t="str">
        <x:v>Resolve the intended route without a failed request runtime exception shared error state nested button horizontal overflow or product-text finding</x:v>
      </x:c>
      <x:c r="P58" s="16" t="str">
        <x:v>2/2 mapped flows returned status ok and severity none at 390px</x:v>
      </x:c>
      <x:c r="Q58" s="16" t="str">
        <x:v>Browser-observed role-scoped route requests</x:v>
      </x:c>
      <x:c r="R58" s="16" t="str">
        <x:v>No failed request detected; exact endpoint-by-endpoint reconciliation remains a separate audit gap</x:v>
      </x:c>
      <x:c r="S58" s="16" t="str"/>
      <x:c r="T58" s="16" t="str"/>
      <x:c r="U58" s="16" t="str">
        <x:v>No database mutation executed by this route-load regression</x:v>
      </x:c>
      <x:c r="V58" s="16" t="str">
        <x:v>Not directly exercised in this route-load regression</x:v>
      </x:c>
      <x:c r="W58" s="16" t="str">
        <x:v>Not reconciled in this route-load regression</x:v>
      </x:c>
      <x:c r="X58" s="16" t="str"/>
      <x:c r="Y58" s="16" t="str">
        <x:v>Sentry API unavailable; runner detected no runtime exception or console error classified as high or medium</x:v>
      </x:c>
      <x:c r="Z58" s="16" t="str">
        <x:v>coach</x:v>
      </x:c>
      <x:c r="AA58" s="16" t="str">
        <x:v>coach mapped route flow passed</x:v>
      </x:c>
      <x:c r="AB58" s="16" t="str">
        <x:v>automated route pass; manual visual corpus tracked separately</x:v>
      </x:c>
      <x:c r="AC58" s="16" t="str">
        <x:v>configured actions passed where present; otherwise route-load only</x:v>
      </x:c>
      <x:c r="AD58" s="16" t="str">
        <x:v>no automated high or medium finding</x:v>
      </x:c>
      <x:c r="AE58" s="16" t="str">
        <x:v>0 product-text findings</x:v>
      </x:c>
      <x:c r="AF58" s="16" t="str">
        <x:v>0 product-text findings</x:v>
      </x:c>
      <x:c r="AG58" s="16" t="str">
        <x:v>Shared React Native surface passed responsive runtime; native interaction remains blocked by host DevToolsSecurity</x:v>
      </x:c>
      <x:c r="AH58" s="16" t="str">
        <x:v>football product route</x:v>
      </x:c>
      <x:c r="AI58" s="16" t="str">
        <x:v>390px viewport with 0 horizontal overflow</x:v>
      </x:c>
      <x:c r="AJ58" s="16" t="str">
        <x:v>0 nested buttons; native semantic tree and VoiceOver remain unverified</x:v>
      </x:c>
      <x:c r="AK58" s="16" t="str">
        <x:v>passed</x:v>
      </x:c>
      <x:c r="AL58" s="16" t="str"/>
      <x:c r="AM58" s="16" t="str">
        <x:v>reviews/ios-native-audit/runtime/2026-07-31/report.merged.json</x:v>
      </x:c>
      <x:c r="AN58" s="16" t="str"/>
      <x:c r="AO58" s="16" t="str">
        <x:v>chore(audit): reconcile responsive route evidence</x:v>
      </x:c>
      <x:c r="AP58" s="16" t="str">
        <x:v>2/2 fresh mapped flows passed on 2026-07-31</x:v>
      </x:c>
      <x:c r="AQ58" s="16" t="str">
        <x:v>Non-destructive responsive route evidence only; exact API request IDs database RLS audit-event and native checks remain explicit separate gaps</x:v>
      </x:c>
    </x:row>
    <x:row r="59" ht="48" customHeight="1">
      <x:c r="A59" s="18" t="str">
        <x:v>ROUTE-027</x:v>
      </x:c>
      <x:c r="B59" s="16" t="str">
        <x:v>coach_settings | parent_settings | athlete_settings</x:v>
      </x:c>
      <x:c r="C59" s="16" t="str">
        <x:v>Coach opens settings | Parent opens settings | Athlete opens settings</x:v>
      </x:c>
      <x:c r="D59" s="16" t="str">
        <x:v>coach parent athlete</x:v>
      </x:c>
      <x:c r="E59" s="16" t="str">
        <x:v>app/(tabs)/settings.tsx</x:v>
      </x:c>
      <x:c r="F59" s="16" t="str">
        <x:v>app/(tabs)/settings.tsx</x:v>
      </x:c>
      <x:c r="G59" s="16" t="str">
        <x:v>responsive route load and configured non-mutating assertions</x:v>
      </x:c>
      <x:c r="H59" s="16" t="str">
        <x:v>iPhone 16 Pro responsive browser viewport</x:v>
      </x:c>
      <x:c r="I59" s="16" t="str">
        <x:v>local Expo web bundle backed by staging API</x:v>
      </x:c>
      <x:c r="J59" s="16" t="str">
        <x:v>/settings</x:v>
      </x:c>
      <x:c r="K59" s="16" t="str">
        <x:v>Authenticated seeded role account and linked staging dataset</x:v>
      </x:c>
      <x:c r="L59" s="16" t="str">
        <x:v>1</x:v>
      </x:c>
      <x:c r="M59" s="16" t="str">
        <x:v>coach_settings | parent_settings | athlete_settings</x:v>
      </x:c>
      <x:c r="N59" s="16" t="str">
        <x:v>Navigate directly and execute the flow runner assertions without submitting a product mutation</x:v>
      </x:c>
      <x:c r="O59" s="16" t="str">
        <x:v>Resolve the intended route without a failed request runtime exception shared error state nested button horizontal overflow or product-text finding</x:v>
      </x:c>
      <x:c r="P59" s="16" t="str">
        <x:v>3/3 mapped flows returned status ok and severity none at 390px</x:v>
      </x:c>
      <x:c r="Q59" s="16" t="str">
        <x:v>Browser-observed role-scoped route requests</x:v>
      </x:c>
      <x:c r="R59" s="16" t="str">
        <x:v>No failed request detected; exact endpoint-by-endpoint reconciliation remains a separate audit gap</x:v>
      </x:c>
      <x:c r="S59" s="16" t="str"/>
      <x:c r="T59" s="16" t="str"/>
      <x:c r="U59" s="16" t="str">
        <x:v>No database mutation executed by this route-load regression</x:v>
      </x:c>
      <x:c r="V59" s="16" t="str">
        <x:v>Not directly exercised in this route-load regression</x:v>
      </x:c>
      <x:c r="W59" s="16" t="str">
        <x:v>Not reconciled in this route-load regression</x:v>
      </x:c>
      <x:c r="X59" s="16" t="str"/>
      <x:c r="Y59" s="16" t="str">
        <x:v>Sentry API unavailable; runner detected no runtime exception or console error classified as high or medium</x:v>
      </x:c>
      <x:c r="Z59" s="16" t="str">
        <x:v>coach parent athlete</x:v>
      </x:c>
      <x:c r="AA59" s="16" t="str">
        <x:v>coach, parent, athlete mapped route flows passed</x:v>
      </x:c>
      <x:c r="AB59" s="16" t="str">
        <x:v>automated route pass; manual visual corpus tracked separately</x:v>
      </x:c>
      <x:c r="AC59" s="16" t="str">
        <x:v>configured actions passed where present; otherwise route-load only</x:v>
      </x:c>
      <x:c r="AD59" s="16" t="str">
        <x:v>no automated high or medium finding</x:v>
      </x:c>
      <x:c r="AE59" s="16" t="str">
        <x:v>0 product-text findings</x:v>
      </x:c>
      <x:c r="AF59" s="16" t="str">
        <x:v>0 product-text findings</x:v>
      </x:c>
      <x:c r="AG59" s="16" t="str">
        <x:v>Shared React Native surface passed responsive runtime; native interaction remains blocked by host DevToolsSecurity</x:v>
      </x:c>
      <x:c r="AH59" s="16" t="str">
        <x:v>football product route</x:v>
      </x:c>
      <x:c r="AI59" s="16" t="str">
        <x:v>390px viewport with 0 horizontal overflow</x:v>
      </x:c>
      <x:c r="AJ59" s="16" t="str">
        <x:v>0 nested buttons; native semantic tree and VoiceOver remain unverified</x:v>
      </x:c>
      <x:c r="AK59" s="16" t="str">
        <x:v>passed</x:v>
      </x:c>
      <x:c r="AL59" s="16" t="str"/>
      <x:c r="AM59" s="16" t="str">
        <x:v>reviews/ios-native-audit/runtime/2026-07-31/report.merged.json</x:v>
      </x:c>
      <x:c r="AN59" s="16" t="str"/>
      <x:c r="AO59" s="16" t="str">
        <x:v>chore(audit): reconcile responsive route evidence</x:v>
      </x:c>
      <x:c r="AP59" s="16" t="str">
        <x:v>3/3 fresh mapped flows passed on 2026-07-31</x:v>
      </x:c>
      <x:c r="AQ59" s="16" t="str">
        <x:v>Non-destructive responsive route evidence only; exact API request IDs database RLS audit-event and native checks remain explicit separate gaps</x:v>
      </x:c>
    </x:row>
    <x:row r="60" ht="48" customHeight="1">
      <x:c r="A60" s="18" t="str">
        <x:v>ROUTE-028</x:v>
      </x:c>
      <x:c r="B60" s="16" t="str">
        <x:v>ROUTE-INVENTORY</x:v>
      </x:c>
      <x:c r="C60" s="16" t="str">
        <x:v>Reachable route coverage</x:v>
      </x:c>
      <x:c r="D60" s="16" t="str">
        <x:v>to classify</x:v>
      </x:c>
      <x:c r="E60" s="16" t="str">
        <x:v>app/availability/add-template.tsx</x:v>
      </x:c>
      <x:c r="F60" s="16" t="str">
        <x:v>app/availability/add-template.tsx</x:v>
      </x:c>
      <x:c r="G60" s="16" t="str">
        <x:v>inventory</x:v>
      </x:c>
      <x:c r="H60" s="16" t="str"/>
      <x:c r="I60" s="16" t="str">
        <x:v>staging</x:v>
      </x:c>
      <x:c r="J60" s="16" t="str"/>
      <x:c r="K60" s="16" t="str"/>
      <x:c r="L60" s="16" t="str"/>
      <x:c r="M60" s="16" t="str"/>
      <x:c r="N60" s="16" t="str"/>
      <x:c r="O60" s="16" t="str"/>
      <x:c r="P60" s="16" t="str"/>
      <x:c r="Q60" s="16" t="str"/>
      <x:c r="R60" s="16" t="str"/>
      <x:c r="S60" s="16" t="str"/>
      <x:c r="T60" s="16" t="str"/>
      <x:c r="U60" s="16" t="str"/>
      <x:c r="V60" s="16" t="str"/>
      <x:c r="W60" s="16" t="str"/>
      <x:c r="X60" s="16" t="str"/>
      <x:c r="Y60" s="16" t="str"/>
      <x:c r="Z60" s="16" t="str"/>
      <x:c r="AA60" s="16" t="str"/>
      <x:c r="AB60" s="16" t="str"/>
      <x:c r="AC60" s="16" t="str"/>
      <x:c r="AD60" s="16" t="str"/>
      <x:c r="AE60" s="16" t="str"/>
      <x:c r="AF60" s="16" t="str"/>
      <x:c r="AG60" s="16" t="str"/>
      <x:c r="AH60" s="16" t="str"/>
      <x:c r="AI60" s="16" t="str"/>
      <x:c r="AJ60" s="16" t="str"/>
      <x:c r="AK60" s="16" t="str">
        <x:v>pending</x:v>
      </x:c>
      <x:c r="AL60" s="16" t="str"/>
      <x:c r="AM60" s="16" t="str"/>
      <x:c r="AN60" s="16" t="str"/>
      <x:c r="AO60" s="16" t="str"/>
      <x:c r="AP60" s="16" t="str">
        <x:v>pending</x:v>
      </x:c>
      <x:c r="AQ60" s="16" t="str">
        <x:v>Discovered from executable Expo Router tree; runtime coverage pending</x:v>
      </x:c>
    </x:row>
    <x:row r="61" ht="48" customHeight="1">
      <x:c r="A61" s="18" t="str">
        <x:v>ROUTE-029</x:v>
      </x:c>
      <x:c r="B61" s="16" t="str">
        <x:v>ROUTE-INVENTORY</x:v>
      </x:c>
      <x:c r="C61" s="16" t="str">
        <x:v>Reachable route coverage</x:v>
      </x:c>
      <x:c r="D61" s="16" t="str">
        <x:v>to classify</x:v>
      </x:c>
      <x:c r="E61" s="16" t="str">
        <x:v>app/availability/block-date.tsx</x:v>
      </x:c>
      <x:c r="F61" s="16" t="str">
        <x:v>app/availability/block-date.tsx</x:v>
      </x:c>
      <x:c r="G61" s="16" t="str">
        <x:v>inventory</x:v>
      </x:c>
      <x:c r="H61" s="16" t="str"/>
      <x:c r="I61" s="16" t="str">
        <x:v>staging</x:v>
      </x:c>
      <x:c r="J61" s="16" t="str"/>
      <x:c r="K61" s="16" t="str"/>
      <x:c r="L61" s="16" t="str"/>
      <x:c r="M61" s="16" t="str"/>
      <x:c r="N61" s="16" t="str"/>
      <x:c r="O61" s="16" t="str"/>
      <x:c r="P61" s="16" t="str"/>
      <x:c r="Q61" s="16" t="str"/>
      <x:c r="R61" s="16" t="str"/>
      <x:c r="S61" s="16" t="str"/>
      <x:c r="T61" s="16" t="str"/>
      <x:c r="U61" s="16" t="str"/>
      <x:c r="V61" s="16" t="str"/>
      <x:c r="W61" s="16" t="str"/>
      <x:c r="X61" s="16" t="str"/>
      <x:c r="Y61" s="16" t="str"/>
      <x:c r="Z61" s="16" t="str"/>
      <x:c r="AA61" s="16" t="str"/>
      <x:c r="AB61" s="16" t="str"/>
      <x:c r="AC61" s="16" t="str"/>
      <x:c r="AD61" s="16" t="str"/>
      <x:c r="AE61" s="16" t="str"/>
      <x:c r="AF61" s="16" t="str"/>
      <x:c r="AG61" s="16" t="str"/>
      <x:c r="AH61" s="16" t="str"/>
      <x:c r="AI61" s="16" t="str"/>
      <x:c r="AJ61" s="16" t="str"/>
      <x:c r="AK61" s="16" t="str">
        <x:v>pending</x:v>
      </x:c>
      <x:c r="AL61" s="16" t="str"/>
      <x:c r="AM61" s="16" t="str"/>
      <x:c r="AN61" s="16" t="str"/>
      <x:c r="AO61" s="16" t="str"/>
      <x:c r="AP61" s="16" t="str">
        <x:v>pending</x:v>
      </x:c>
      <x:c r="AQ61" s="16" t="str">
        <x:v>Discovered from executable Expo Router tree; runtime coverage pending</x:v>
      </x:c>
    </x:row>
    <x:row r="62" ht="48" customHeight="1">
      <x:c r="A62" s="18" t="str">
        <x:v>ROUTE-030</x:v>
      </x:c>
      <x:c r="B62" s="16" t="str">
        <x:v>coach_availability_calendar</x:v>
      </x:c>
      <x:c r="C62" s="16" t="str">
        <x:v>Coach opens availability calendar</x:v>
      </x:c>
      <x:c r="D62" s="16" t="str">
        <x:v>coach</x:v>
      </x:c>
      <x:c r="E62" s="16" t="str">
        <x:v>app/availability/calendar.tsx</x:v>
      </x:c>
      <x:c r="F62" s="16" t="str">
        <x:v>app/availability/calendar.tsx</x:v>
      </x:c>
      <x:c r="G62" s="16" t="str">
        <x:v>responsive route load and configured non-mutating assertions</x:v>
      </x:c>
      <x:c r="H62" s="16" t="str">
        <x:v>iPhone 16 Pro responsive browser viewport</x:v>
      </x:c>
      <x:c r="I62" s="16" t="str">
        <x:v>local Expo web bundle backed by staging API</x:v>
      </x:c>
      <x:c r="J62" s="16" t="str">
        <x:v>/availability/calendar</x:v>
      </x:c>
      <x:c r="K62" s="16" t="str">
        <x:v>Authenticated seeded role account and linked staging dataset</x:v>
      </x:c>
      <x:c r="L62" s="16" t="str">
        <x:v>1</x:v>
      </x:c>
      <x:c r="M62" s="16" t="str">
        <x:v>coach_availability_calendar</x:v>
      </x:c>
      <x:c r="N62" s="16" t="str">
        <x:v>Navigate directly and execute the flow runner assertions without submitting a product mutation</x:v>
      </x:c>
      <x:c r="O62" s="16" t="str">
        <x:v>Resolve the intended route without a failed request runtime exception shared error state nested button horizontal overflow or product-text finding</x:v>
      </x:c>
      <x:c r="P62" s="16" t="str">
        <x:v>1/1 mapped flows returned status ok and severity none at 390px</x:v>
      </x:c>
      <x:c r="Q62" s="16" t="str">
        <x:v>Browser-observed role-scoped route requests</x:v>
      </x:c>
      <x:c r="R62" s="16" t="str">
        <x:v>No failed request detected; exact endpoint-by-endpoint reconciliation remains a separate audit gap</x:v>
      </x:c>
      <x:c r="S62" s="16" t="str"/>
      <x:c r="T62" s="16" t="str"/>
      <x:c r="U62" s="16" t="str">
        <x:v>No database mutation executed by this route-load regression</x:v>
      </x:c>
      <x:c r="V62" s="16" t="str">
        <x:v>Not directly exercised in this route-load regression</x:v>
      </x:c>
      <x:c r="W62" s="16" t="str">
        <x:v>Not reconciled in this route-load regression</x:v>
      </x:c>
      <x:c r="X62" s="16" t="str"/>
      <x:c r="Y62" s="16" t="str">
        <x:v>Sentry API unavailable; runner detected no runtime exception or console error classified as high or medium</x:v>
      </x:c>
      <x:c r="Z62" s="16" t="str">
        <x:v>coach</x:v>
      </x:c>
      <x:c r="AA62" s="16" t="str">
        <x:v>coach mapped route flow passed</x:v>
      </x:c>
      <x:c r="AB62" s="16" t="str">
        <x:v>automated route pass; manual visual corpus tracked separately</x:v>
      </x:c>
      <x:c r="AC62" s="16" t="str">
        <x:v>configured actions passed where present; otherwise route-load only</x:v>
      </x:c>
      <x:c r="AD62" s="16" t="str">
        <x:v>no automated high or medium finding</x:v>
      </x:c>
      <x:c r="AE62" s="16" t="str">
        <x:v>0 product-text findings</x:v>
      </x:c>
      <x:c r="AF62" s="16" t="str">
        <x:v>0 product-text findings</x:v>
      </x:c>
      <x:c r="AG62" s="16" t="str">
        <x:v>Shared React Native surface passed responsive runtime; native interaction remains blocked by host DevToolsSecurity</x:v>
      </x:c>
      <x:c r="AH62" s="16" t="str">
        <x:v>football product route</x:v>
      </x:c>
      <x:c r="AI62" s="16" t="str">
        <x:v>390px viewport with 0 horizontal overflow</x:v>
      </x:c>
      <x:c r="AJ62" s="16" t="str">
        <x:v>0 nested buttons; native semantic tree and VoiceOver remain unverified</x:v>
      </x:c>
      <x:c r="AK62" s="16" t="str">
        <x:v>passed</x:v>
      </x:c>
      <x:c r="AL62" s="16" t="str"/>
      <x:c r="AM62" s="16" t="str">
        <x:v>reviews/ios-native-audit/runtime/2026-07-31/report.merged.json</x:v>
      </x:c>
      <x:c r="AN62" s="16" t="str"/>
      <x:c r="AO62" s="16" t="str">
        <x:v>chore(audit): reconcile responsive route evidence</x:v>
      </x:c>
      <x:c r="AP62" s="16" t="str">
        <x:v>1/1 fresh mapped flows passed on 2026-07-31</x:v>
      </x:c>
      <x:c r="AQ62" s="16" t="str">
        <x:v>Non-destructive responsive route evidence only; exact API request IDs database RLS audit-event and native checks remain explicit separate gaps</x:v>
      </x:c>
    </x:row>
    <x:row r="63" ht="48" customHeight="1">
      <x:c r="A63" s="18" t="str">
        <x:v>ROUTE-031</x:v>
      </x:c>
      <x:c r="B63" s="16" t="str">
        <x:v>ROUTE-INVENTORY</x:v>
      </x:c>
      <x:c r="C63" s="16" t="str">
        <x:v>Reachable route coverage</x:v>
      </x:c>
      <x:c r="D63" s="16" t="str">
        <x:v>to classify</x:v>
      </x:c>
      <x:c r="E63" s="16" t="str">
        <x:v>app/availability/edit-template.tsx</x:v>
      </x:c>
      <x:c r="F63" s="16" t="str">
        <x:v>app/availability/edit-template.tsx</x:v>
      </x:c>
      <x:c r="G63" s="16" t="str">
        <x:v>inventory</x:v>
      </x:c>
      <x:c r="H63" s="16" t="str"/>
      <x:c r="I63" s="16" t="str">
        <x:v>staging</x:v>
      </x:c>
      <x:c r="J63" s="16" t="str"/>
      <x:c r="K63" s="16" t="str"/>
      <x:c r="L63" s="16" t="str"/>
      <x:c r="M63" s="16" t="str"/>
      <x:c r="N63" s="16" t="str"/>
      <x:c r="O63" s="16" t="str"/>
      <x:c r="P63" s="16" t="str"/>
      <x:c r="Q63" s="16" t="str"/>
      <x:c r="R63" s="16" t="str"/>
      <x:c r="S63" s="16" t="str"/>
      <x:c r="T63" s="16" t="str"/>
      <x:c r="U63" s="16" t="str"/>
      <x:c r="V63" s="16" t="str"/>
      <x:c r="W63" s="16" t="str"/>
      <x:c r="X63" s="16" t="str"/>
      <x:c r="Y63" s="16" t="str"/>
      <x:c r="Z63" s="16" t="str"/>
      <x:c r="AA63" s="16" t="str"/>
      <x:c r="AB63" s="16" t="str"/>
      <x:c r="AC63" s="16" t="str"/>
      <x:c r="AD63" s="16" t="str"/>
      <x:c r="AE63" s="16" t="str"/>
      <x:c r="AF63" s="16" t="str"/>
      <x:c r="AG63" s="16" t="str"/>
      <x:c r="AH63" s="16" t="str"/>
      <x:c r="AI63" s="16" t="str"/>
      <x:c r="AJ63" s="16" t="str"/>
      <x:c r="AK63" s="16" t="str">
        <x:v>pending</x:v>
      </x:c>
      <x:c r="AL63" s="16" t="str"/>
      <x:c r="AM63" s="16" t="str"/>
      <x:c r="AN63" s="16" t="str"/>
      <x:c r="AO63" s="16" t="str"/>
      <x:c r="AP63" s="16" t="str">
        <x:v>pending</x:v>
      </x:c>
      <x:c r="AQ63" s="16" t="str">
        <x:v>Discovered from executable Expo Router tree; runtime coverage pending</x:v>
      </x:c>
    </x:row>
    <x:row r="64" ht="48" customHeight="1">
      <x:c r="A64" s="18" t="str">
        <x:v>ROUTE-032</x:v>
      </x:c>
      <x:c r="B64" s="16" t="str">
        <x:v>parent_book_coach | athlete_find_coach</x:v>
      </x:c>
      <x:c r="C64" s="16" t="str">
        <x:v>Parent opens find coach | Athlete opens find coach</x:v>
      </x:c>
      <x:c r="D64" s="16" t="str">
        <x:v>parent athlete</x:v>
      </x:c>
      <x:c r="E64" s="16" t="str">
        <x:v>app/book-coach.tsx</x:v>
      </x:c>
      <x:c r="F64" s="16" t="str">
        <x:v>app/book-coach.tsx</x:v>
      </x:c>
      <x:c r="G64" s="16" t="str">
        <x:v>responsive route load and configured non-mutating assertions</x:v>
      </x:c>
      <x:c r="H64" s="16" t="str">
        <x:v>iPhone 16 Pro responsive browser viewport</x:v>
      </x:c>
      <x:c r="I64" s="16" t="str">
        <x:v>local Expo web bundle backed by staging API</x:v>
      </x:c>
      <x:c r="J64" s="16" t="str">
        <x:v>/book-coach</x:v>
      </x:c>
      <x:c r="K64" s="16" t="str">
        <x:v>Authenticated seeded role account and linked staging dataset</x:v>
      </x:c>
      <x:c r="L64" s="16" t="str">
        <x:v>1</x:v>
      </x:c>
      <x:c r="M64" s="16" t="str">
        <x:v>parent_book_coach | athlete_find_coach</x:v>
      </x:c>
      <x:c r="N64" s="16" t="str">
        <x:v>Navigate directly and execute the flow runner assertions without submitting a product mutation</x:v>
      </x:c>
      <x:c r="O64" s="16" t="str">
        <x:v>Resolve the intended route without a failed request runtime exception shared error state nested button horizontal overflow or product-text finding</x:v>
      </x:c>
      <x:c r="P64" s="16" t="str">
        <x:v>2/2 mapped flows returned status ok and severity none at 390px</x:v>
      </x:c>
      <x:c r="Q64" s="16" t="str">
        <x:v>Browser-observed role-scoped route requests</x:v>
      </x:c>
      <x:c r="R64" s="16" t="str">
        <x:v>No failed request detected; exact endpoint-by-endpoint reconciliation remains a separate audit gap</x:v>
      </x:c>
      <x:c r="S64" s="16" t="str"/>
      <x:c r="T64" s="16" t="str"/>
      <x:c r="U64" s="16" t="str">
        <x:v>No database mutation executed by this route-load regression</x:v>
      </x:c>
      <x:c r="V64" s="16" t="str">
        <x:v>Not directly exercised in this route-load regression</x:v>
      </x:c>
      <x:c r="W64" s="16" t="str">
        <x:v>Not reconciled in this route-load regression</x:v>
      </x:c>
      <x:c r="X64" s="16" t="str"/>
      <x:c r="Y64" s="16" t="str">
        <x:v>Sentry API unavailable; runner detected no runtime exception or console error classified as high or medium</x:v>
      </x:c>
      <x:c r="Z64" s="16" t="str">
        <x:v>parent athlete</x:v>
      </x:c>
      <x:c r="AA64" s="16" t="str">
        <x:v>parent, athlete mapped route flows passed</x:v>
      </x:c>
      <x:c r="AB64" s="16" t="str">
        <x:v>automated route pass; manual visual corpus tracked separately</x:v>
      </x:c>
      <x:c r="AC64" s="16" t="str">
        <x:v>configured actions passed where present; otherwise route-load only</x:v>
      </x:c>
      <x:c r="AD64" s="16" t="str">
        <x:v>no automated high or medium finding</x:v>
      </x:c>
      <x:c r="AE64" s="16" t="str">
        <x:v>0 product-text findings</x:v>
      </x:c>
      <x:c r="AF64" s="16" t="str">
        <x:v>0 product-text findings</x:v>
      </x:c>
      <x:c r="AG64" s="16" t="str">
        <x:v>Shared React Native surface passed responsive runtime; native interaction remains blocked by host DevToolsSecurity</x:v>
      </x:c>
      <x:c r="AH64" s="16" t="str">
        <x:v>football product route</x:v>
      </x:c>
      <x:c r="AI64" s="16" t="str">
        <x:v>390px viewport with 0 horizontal overflow</x:v>
      </x:c>
      <x:c r="AJ64" s="16" t="str">
        <x:v>0 nested buttons; native semantic tree and VoiceOver remain unverified</x:v>
      </x:c>
      <x:c r="AK64" s="16" t="str">
        <x:v>passed</x:v>
      </x:c>
      <x:c r="AL64" s="16" t="str"/>
      <x:c r="AM64" s="16" t="str">
        <x:v>reviews/ios-native-audit/runtime/2026-07-31/report.merged.json</x:v>
      </x:c>
      <x:c r="AN64" s="16" t="str"/>
      <x:c r="AO64" s="16" t="str">
        <x:v>chore(audit): reconcile responsive route evidence</x:v>
      </x:c>
      <x:c r="AP64" s="16" t="str">
        <x:v>2/2 fresh mapped flows passed on 2026-07-31</x:v>
      </x:c>
      <x:c r="AQ64" s="16" t="str">
        <x:v>Non-destructive responsive route evidence only; exact API request IDs database RLS audit-event and native checks remain explicit separate gaps</x:v>
      </x:c>
    </x:row>
    <x:row r="65" ht="48" customHeight="1">
      <x:c r="A65" s="18" t="str">
        <x:v>ROUTE-033</x:v>
      </x:c>
      <x:c r="B65" s="16" t="str">
        <x:v>parent_book_flow_confirmation</x:v>
      </x:c>
      <x:c r="C65" s="16" t="str">
        <x:v>Parent opens confirmation step</x:v>
      </x:c>
      <x:c r="D65" s="16" t="str">
        <x:v>parent</x:v>
      </x:c>
      <x:c r="E65" s="16" t="str">
        <x:v>app/book/[coachId]/confirmation.tsx</x:v>
      </x:c>
      <x:c r="F65" s="16" t="str">
        <x:v>app/book/[coachId]/confirmation.tsx</x:v>
      </x:c>
      <x:c r="G65" s="16" t="str">
        <x:v>responsive route load and configured non-mutating assertions</x:v>
      </x:c>
      <x:c r="H65" s="16" t="str">
        <x:v>iPhone 16 Pro responsive browser viewport</x:v>
      </x:c>
      <x:c r="I65" s="16" t="str">
        <x:v>local Expo web bundle backed by staging API</x:v>
      </x:c>
      <x:c r="J65" s="16" t="str">
        <x:v>/book/usr_65972cc3-8f9b-7199-b867-7df5b7faf34b/confirmation</x:v>
      </x:c>
      <x:c r="K65" s="16" t="str">
        <x:v>Authenticated seeded role account and linked staging dataset</x:v>
      </x:c>
      <x:c r="L65" s="16" t="str">
        <x:v>1</x:v>
      </x:c>
      <x:c r="M65" s="16" t="str">
        <x:v>parent_book_flow_confirmation</x:v>
      </x:c>
      <x:c r="N65" s="16" t="str">
        <x:v>Navigate directly and execute the flow runner assertions without submitting a product mutation</x:v>
      </x:c>
      <x:c r="O65" s="16" t="str">
        <x:v>Resolve the intended route without a failed request runtime exception shared error state nested button horizontal overflow or product-text finding</x:v>
      </x:c>
      <x:c r="P65" s="16" t="str">
        <x:v>1/1 mapped flows returned status ok and severity none at 390px</x:v>
      </x:c>
      <x:c r="Q65" s="16" t="str">
        <x:v>Browser-observed role-scoped route requests</x:v>
      </x:c>
      <x:c r="R65" s="16" t="str">
        <x:v>No failed request detected; exact endpoint-by-endpoint reconciliation remains a separate audit gap</x:v>
      </x:c>
      <x:c r="S65" s="16" t="str"/>
      <x:c r="T65" s="16" t="str"/>
      <x:c r="U65" s="16" t="str">
        <x:v>No database mutation executed by this route-load regression</x:v>
      </x:c>
      <x:c r="V65" s="16" t="str">
        <x:v>Not directly exercised in this route-load regression</x:v>
      </x:c>
      <x:c r="W65" s="16" t="str">
        <x:v>Not reconciled in this route-load regression</x:v>
      </x:c>
      <x:c r="X65" s="16" t="str"/>
      <x:c r="Y65" s="16" t="str">
        <x:v>Sentry API unavailable; runner detected no runtime exception or console error classified as high or medium</x:v>
      </x:c>
      <x:c r="Z65" s="16" t="str">
        <x:v>parent</x:v>
      </x:c>
      <x:c r="AA65" s="16" t="str">
        <x:v>parent mapped route flow passed</x:v>
      </x:c>
      <x:c r="AB65" s="16" t="str">
        <x:v>automated route pass; manual visual corpus tracked separately</x:v>
      </x:c>
      <x:c r="AC65" s="16" t="str">
        <x:v>configured actions passed where present; otherwise route-load only</x:v>
      </x:c>
      <x:c r="AD65" s="16" t="str">
        <x:v>no automated high or medium finding</x:v>
      </x:c>
      <x:c r="AE65" s="16" t="str">
        <x:v>0 product-text findings</x:v>
      </x:c>
      <x:c r="AF65" s="16" t="str">
        <x:v>0 product-text findings</x:v>
      </x:c>
      <x:c r="AG65" s="16" t="str">
        <x:v>Shared React Native surface passed responsive runtime; native interaction remains blocked by host DevToolsSecurity</x:v>
      </x:c>
      <x:c r="AH65" s="16" t="str">
        <x:v>football product route</x:v>
      </x:c>
      <x:c r="AI65" s="16" t="str">
        <x:v>390px viewport with 0 horizontal overflow</x:v>
      </x:c>
      <x:c r="AJ65" s="16" t="str">
        <x:v>0 nested buttons; native semantic tree and VoiceOver remain unverified</x:v>
      </x:c>
      <x:c r="AK65" s="16" t="str">
        <x:v>passed</x:v>
      </x:c>
      <x:c r="AL65" s="16" t="str"/>
      <x:c r="AM65" s="16" t="str">
        <x:v>reviews/ios-native-audit/runtime/2026-07-31/report.merged.json</x:v>
      </x:c>
      <x:c r="AN65" s="16" t="str"/>
      <x:c r="AO65" s="16" t="str">
        <x:v>chore(audit): reconcile responsive route evidence</x:v>
      </x:c>
      <x:c r="AP65" s="16" t="str">
        <x:v>1/1 fresh mapped flows passed on 2026-07-31</x:v>
      </x:c>
      <x:c r="AQ65" s="16" t="str">
        <x:v>Non-destructive responsive route evidence only; exact API request IDs database RLS audit-event and native checks remain explicit separate gaps</x:v>
      </x:c>
    </x:row>
    <x:row r="66" ht="48" customHeight="1">
      <x:c r="A66" s="18" t="str">
        <x:v>ROUTE-034</x:v>
      </x:c>
      <x:c r="B66" s="16" t="str">
        <x:v>parent_book_flow_details</x:v>
      </x:c>
      <x:c r="C66" s="16" t="str">
        <x:v>Parent opens details step</x:v>
      </x:c>
      <x:c r="D66" s="16" t="str">
        <x:v>parent</x:v>
      </x:c>
      <x:c r="E66" s="16" t="str">
        <x:v>app/book/[coachId]/details.tsx</x:v>
      </x:c>
      <x:c r="F66" s="16" t="str">
        <x:v>app/book/[coachId]/details.tsx</x:v>
      </x:c>
      <x:c r="G66" s="16" t="str">
        <x:v>responsive route load and configured non-mutating assertions</x:v>
      </x:c>
      <x:c r="H66" s="16" t="str">
        <x:v>iPhone 16 Pro responsive browser viewport</x:v>
      </x:c>
      <x:c r="I66" s="16" t="str">
        <x:v>local Expo web bundle backed by staging API</x:v>
      </x:c>
      <x:c r="J66" s="16" t="str">
        <x:v>/book/usr_65972cc3-8f9b-7199-b867-7df5b7faf34b/details</x:v>
      </x:c>
      <x:c r="K66" s="16" t="str">
        <x:v>Authenticated seeded role account and linked staging dataset</x:v>
      </x:c>
      <x:c r="L66" s="16" t="str">
        <x:v>1</x:v>
      </x:c>
      <x:c r="M66" s="16" t="str">
        <x:v>parent_book_flow_details</x:v>
      </x:c>
      <x:c r="N66" s="16" t="str">
        <x:v>Navigate directly and execute the flow runner assertions without submitting a product mutation</x:v>
      </x:c>
      <x:c r="O66" s="16" t="str">
        <x:v>Resolve the intended route without a failed request runtime exception shared error state nested button horizontal overflow or product-text finding</x:v>
      </x:c>
      <x:c r="P66" s="16" t="str">
        <x:v>1/1 mapped flows returned status ok and severity none at 390px</x:v>
      </x:c>
      <x:c r="Q66" s="16" t="str">
        <x:v>Browser-observed role-scoped route requests</x:v>
      </x:c>
      <x:c r="R66" s="16" t="str">
        <x:v>No failed request detected; exact endpoint-by-endpoint reconciliation remains a separate audit gap</x:v>
      </x:c>
      <x:c r="S66" s="16" t="str"/>
      <x:c r="T66" s="16" t="str"/>
      <x:c r="U66" s="16" t="str">
        <x:v>No database mutation executed by this route-load regression</x:v>
      </x:c>
      <x:c r="V66" s="16" t="str">
        <x:v>Not directly exercised in this route-load regression</x:v>
      </x:c>
      <x:c r="W66" s="16" t="str">
        <x:v>Not reconciled in this route-load regression</x:v>
      </x:c>
      <x:c r="X66" s="16" t="str"/>
      <x:c r="Y66" s="16" t="str">
        <x:v>Sentry API unavailable; runner detected no runtime exception or console error classified as high or medium</x:v>
      </x:c>
      <x:c r="Z66" s="16" t="str">
        <x:v>parent</x:v>
      </x:c>
      <x:c r="AA66" s="16" t="str">
        <x:v>parent mapped route flow passed</x:v>
      </x:c>
      <x:c r="AB66" s="16" t="str">
        <x:v>automated route pass; manual visual corpus tracked separately</x:v>
      </x:c>
      <x:c r="AC66" s="16" t="str">
        <x:v>configured actions passed where present; otherwise route-load only</x:v>
      </x:c>
      <x:c r="AD66" s="16" t="str">
        <x:v>no automated high or medium finding</x:v>
      </x:c>
      <x:c r="AE66" s="16" t="str">
        <x:v>0 product-text findings</x:v>
      </x:c>
      <x:c r="AF66" s="16" t="str">
        <x:v>0 product-text findings</x:v>
      </x:c>
      <x:c r="AG66" s="16" t="str">
        <x:v>Shared React Native surface passed responsive runtime; native interaction remains blocked by host DevToolsSecurity</x:v>
      </x:c>
      <x:c r="AH66" s="16" t="str">
        <x:v>football product route</x:v>
      </x:c>
      <x:c r="AI66" s="16" t="str">
        <x:v>390px viewport with 0 horizontal overflow</x:v>
      </x:c>
      <x:c r="AJ66" s="16" t="str">
        <x:v>0 nested buttons; native semantic tree and VoiceOver remain unverified</x:v>
      </x:c>
      <x:c r="AK66" s="16" t="str">
        <x:v>passed</x:v>
      </x:c>
      <x:c r="AL66" s="16" t="str"/>
      <x:c r="AM66" s="16" t="str">
        <x:v>reviews/ios-native-audit/runtime/2026-07-31/report.merged.json</x:v>
      </x:c>
      <x:c r="AN66" s="16" t="str"/>
      <x:c r="AO66" s="16" t="str">
        <x:v>chore(audit): reconcile responsive route evidence</x:v>
      </x:c>
      <x:c r="AP66" s="16" t="str">
        <x:v>1/1 fresh mapped flows passed on 2026-07-31</x:v>
      </x:c>
      <x:c r="AQ66" s="16" t="str">
        <x:v>Non-destructive responsive route evidence only; exact API request IDs database RLS audit-event and native checks remain explicit separate gaps</x:v>
      </x:c>
    </x:row>
    <x:row r="67" ht="48" customHeight="1">
      <x:c r="A67" s="18" t="str">
        <x:v>ROUTE-035</x:v>
      </x:c>
      <x:c r="B67" s="16" t="str">
        <x:v>parent_book_flow_start</x:v>
      </x:c>
      <x:c r="C67" s="16" t="str">
        <x:v>Parent opens book flow home</x:v>
      </x:c>
      <x:c r="D67" s="16" t="str">
        <x:v>parent</x:v>
      </x:c>
      <x:c r="E67" s="16" t="str">
        <x:v>app/book/[coachId]/index.tsx</x:v>
      </x:c>
      <x:c r="F67" s="16" t="str">
        <x:v>app/book/[coachId]/index.tsx</x:v>
      </x:c>
      <x:c r="G67" s="16" t="str">
        <x:v>responsive route load and configured non-mutating assertions</x:v>
      </x:c>
      <x:c r="H67" s="16" t="str">
        <x:v>iPhone 16 Pro responsive browser viewport</x:v>
      </x:c>
      <x:c r="I67" s="16" t="str">
        <x:v>local Expo web bundle backed by staging API</x:v>
      </x:c>
      <x:c r="J67" s="16" t="str">
        <x:v>/book/usr_65972cc3-8f9b-7199-b867-7df5b7faf34b</x:v>
      </x:c>
      <x:c r="K67" s="16" t="str">
        <x:v>Authenticated seeded role account and linked staging dataset</x:v>
      </x:c>
      <x:c r="L67" s="16" t="str">
        <x:v>1</x:v>
      </x:c>
      <x:c r="M67" s="16" t="str">
        <x:v>parent_book_flow_start</x:v>
      </x:c>
      <x:c r="N67" s="16" t="str">
        <x:v>Navigate directly and execute the flow runner assertions without submitting a product mutation</x:v>
      </x:c>
      <x:c r="O67" s="16" t="str">
        <x:v>Resolve the intended route without a failed request runtime exception shared error state nested button horizontal overflow or product-text finding</x:v>
      </x:c>
      <x:c r="P67" s="16" t="str">
        <x:v>1/1 mapped flows returned status ok and severity none at 390px</x:v>
      </x:c>
      <x:c r="Q67" s="16" t="str">
        <x:v>Browser-observed role-scoped route requests</x:v>
      </x:c>
      <x:c r="R67" s="16" t="str">
        <x:v>No failed request detected; exact endpoint-by-endpoint reconciliation remains a separate audit gap</x:v>
      </x:c>
      <x:c r="S67" s="16" t="str"/>
      <x:c r="T67" s="16" t="str"/>
      <x:c r="U67" s="16" t="str">
        <x:v>No database mutation executed by this route-load regression</x:v>
      </x:c>
      <x:c r="V67" s="16" t="str">
        <x:v>Not directly exercised in this route-load regression</x:v>
      </x:c>
      <x:c r="W67" s="16" t="str">
        <x:v>Not reconciled in this route-load regression</x:v>
      </x:c>
      <x:c r="X67" s="16" t="str"/>
      <x:c r="Y67" s="16" t="str">
        <x:v>Sentry API unavailable; runner detected no runtime exception or console error classified as high or medium</x:v>
      </x:c>
      <x:c r="Z67" s="16" t="str">
        <x:v>parent</x:v>
      </x:c>
      <x:c r="AA67" s="16" t="str">
        <x:v>parent mapped route flow passed</x:v>
      </x:c>
      <x:c r="AB67" s="16" t="str">
        <x:v>automated route pass; manual visual corpus tracked separately</x:v>
      </x:c>
      <x:c r="AC67" s="16" t="str">
        <x:v>configured actions passed where present; otherwise route-load only</x:v>
      </x:c>
      <x:c r="AD67" s="16" t="str">
        <x:v>no automated high or medium finding</x:v>
      </x:c>
      <x:c r="AE67" s="16" t="str">
        <x:v>0 product-text findings</x:v>
      </x:c>
      <x:c r="AF67" s="16" t="str">
        <x:v>0 product-text findings</x:v>
      </x:c>
      <x:c r="AG67" s="16" t="str">
        <x:v>Shared React Native surface passed responsive runtime; native interaction remains blocked by host DevToolsSecurity</x:v>
      </x:c>
      <x:c r="AH67" s="16" t="str">
        <x:v>football product route</x:v>
      </x:c>
      <x:c r="AI67" s="16" t="str">
        <x:v>390px viewport with 0 horizontal overflow</x:v>
      </x:c>
      <x:c r="AJ67" s="16" t="str">
        <x:v>0 nested buttons; native semantic tree and VoiceOver remain unverified</x:v>
      </x:c>
      <x:c r="AK67" s="16" t="str">
        <x:v>passed</x:v>
      </x:c>
      <x:c r="AL67" s="16" t="str"/>
      <x:c r="AM67" s="16" t="str">
        <x:v>reviews/ios-native-audit/runtime/2026-07-31/report.merged.json</x:v>
      </x:c>
      <x:c r="AN67" s="16" t="str"/>
      <x:c r="AO67" s="16" t="str">
        <x:v>chore(audit): reconcile responsive route evidence</x:v>
      </x:c>
      <x:c r="AP67" s="16" t="str">
        <x:v>1/1 fresh mapped flows passed on 2026-07-31</x:v>
      </x:c>
      <x:c r="AQ67" s="16" t="str">
        <x:v>Non-destructive responsive route evidence only; exact API request IDs database RLS audit-event and native checks remain explicit separate gaps</x:v>
      </x:c>
    </x:row>
    <x:row r="68" ht="48" customHeight="1">
      <x:c r="A68" s="18" t="str">
        <x:v>ROUTE-036</x:v>
      </x:c>
      <x:c r="B68" s="16" t="str">
        <x:v>ROUTE-INVENTORY</x:v>
      </x:c>
      <x:c r="C68" s="16" t="str">
        <x:v>Reachable route coverage</x:v>
      </x:c>
      <x:c r="D68" s="16" t="str">
        <x:v>to classify</x:v>
      </x:c>
      <x:c r="E68" s="16" t="str">
        <x:v>app/book/[coachId]/multi-week.tsx</x:v>
      </x:c>
      <x:c r="F68" s="16" t="str">
        <x:v>app/book/[coachId]/multi-week.tsx</x:v>
      </x:c>
      <x:c r="G68" s="16" t="str">
        <x:v>inventory</x:v>
      </x:c>
      <x:c r="H68" s="16" t="str"/>
      <x:c r="I68" s="16" t="str">
        <x:v>staging</x:v>
      </x:c>
      <x:c r="J68" s="16" t="str"/>
      <x:c r="K68" s="16" t="str"/>
      <x:c r="L68" s="16" t="str"/>
      <x:c r="M68" s="16" t="str"/>
      <x:c r="N68" s="16" t="str"/>
      <x:c r="O68" s="16" t="str"/>
      <x:c r="P68" s="16" t="str"/>
      <x:c r="Q68" s="16" t="str"/>
      <x:c r="R68" s="16" t="str"/>
      <x:c r="S68" s="16" t="str"/>
      <x:c r="T68" s="16" t="str"/>
      <x:c r="U68" s="16" t="str"/>
      <x:c r="V68" s="16" t="str"/>
      <x:c r="W68" s="16" t="str"/>
      <x:c r="X68" s="16" t="str"/>
      <x:c r="Y68" s="16" t="str"/>
      <x:c r="Z68" s="16" t="str"/>
      <x:c r="AA68" s="16" t="str"/>
      <x:c r="AB68" s="16" t="str"/>
      <x:c r="AC68" s="16" t="str"/>
      <x:c r="AD68" s="16" t="str"/>
      <x:c r="AE68" s="16" t="str"/>
      <x:c r="AF68" s="16" t="str"/>
      <x:c r="AG68" s="16" t="str"/>
      <x:c r="AH68" s="16" t="str"/>
      <x:c r="AI68" s="16" t="str"/>
      <x:c r="AJ68" s="16" t="str"/>
      <x:c r="AK68" s="16" t="str">
        <x:v>pending</x:v>
      </x:c>
      <x:c r="AL68" s="16" t="str"/>
      <x:c r="AM68" s="16" t="str"/>
      <x:c r="AN68" s="16" t="str"/>
      <x:c r="AO68" s="16" t="str"/>
      <x:c r="AP68" s="16" t="str">
        <x:v>pending</x:v>
      </x:c>
      <x:c r="AQ68" s="16" t="str">
        <x:v>Discovered from executable Expo Router tree; runtime coverage pending</x:v>
      </x:c>
    </x:row>
    <x:row r="69" ht="48" customHeight="1">
      <x:c r="A69" s="18" t="str">
        <x:v>ROUTE-037</x:v>
      </x:c>
      <x:c r="B69" s="16" t="str">
        <x:v>parent_book_flow_review</x:v>
      </x:c>
      <x:c r="C69" s="16" t="str">
        <x:v>Parent opens review step</x:v>
      </x:c>
      <x:c r="D69" s="16" t="str">
        <x:v>parent</x:v>
      </x:c>
      <x:c r="E69" s="16" t="str">
        <x:v>app/book/[coachId]/review.tsx</x:v>
      </x:c>
      <x:c r="F69" s="16" t="str">
        <x:v>app/book/[coachId]/review.tsx</x:v>
      </x:c>
      <x:c r="G69" s="16" t="str">
        <x:v>responsive route load and configured non-mutating assertions</x:v>
      </x:c>
      <x:c r="H69" s="16" t="str">
        <x:v>iPhone 16 Pro responsive browser viewport</x:v>
      </x:c>
      <x:c r="I69" s="16" t="str">
        <x:v>local Expo web bundle backed by staging API</x:v>
      </x:c>
      <x:c r="J69" s="16" t="str">
        <x:v>/book/usr_65972cc3-8f9b-7199-b867-7df5b7faf34b/review</x:v>
      </x:c>
      <x:c r="K69" s="16" t="str">
        <x:v>Authenticated seeded role account and linked staging dataset</x:v>
      </x:c>
      <x:c r="L69" s="16" t="str">
        <x:v>1</x:v>
      </x:c>
      <x:c r="M69" s="16" t="str">
        <x:v>parent_book_flow_review</x:v>
      </x:c>
      <x:c r="N69" s="16" t="str">
        <x:v>Navigate directly and execute the flow runner assertions without submitting a product mutation</x:v>
      </x:c>
      <x:c r="O69" s="16" t="str">
        <x:v>Resolve the intended route without a failed request runtime exception shared error state nested button horizontal overflow or product-text finding</x:v>
      </x:c>
      <x:c r="P69" s="16" t="str">
        <x:v>1/1 mapped flows returned status ok and severity none at 390px</x:v>
      </x:c>
      <x:c r="Q69" s="16" t="str">
        <x:v>Browser-observed role-scoped route requests</x:v>
      </x:c>
      <x:c r="R69" s="16" t="str">
        <x:v>No failed request detected; exact endpoint-by-endpoint reconciliation remains a separate audit gap</x:v>
      </x:c>
      <x:c r="S69" s="16" t="str"/>
      <x:c r="T69" s="16" t="str"/>
      <x:c r="U69" s="16" t="str">
        <x:v>No database mutation executed by this route-load regression</x:v>
      </x:c>
      <x:c r="V69" s="16" t="str">
        <x:v>Not directly exercised in this route-load regression</x:v>
      </x:c>
      <x:c r="W69" s="16" t="str">
        <x:v>Not reconciled in this route-load regression</x:v>
      </x:c>
      <x:c r="X69" s="16" t="str"/>
      <x:c r="Y69" s="16" t="str">
        <x:v>Sentry API unavailable; runner detected no runtime exception or console error classified as high or medium</x:v>
      </x:c>
      <x:c r="Z69" s="16" t="str">
        <x:v>parent</x:v>
      </x:c>
      <x:c r="AA69" s="16" t="str">
        <x:v>parent mapped route flow passed</x:v>
      </x:c>
      <x:c r="AB69" s="16" t="str">
        <x:v>automated route pass; manual visual corpus tracked separately</x:v>
      </x:c>
      <x:c r="AC69" s="16" t="str">
        <x:v>configured actions passed where present; otherwise route-load only</x:v>
      </x:c>
      <x:c r="AD69" s="16" t="str">
        <x:v>no automated high or medium finding</x:v>
      </x:c>
      <x:c r="AE69" s="16" t="str">
        <x:v>0 product-text findings</x:v>
      </x:c>
      <x:c r="AF69" s="16" t="str">
        <x:v>0 product-text findings</x:v>
      </x:c>
      <x:c r="AG69" s="16" t="str">
        <x:v>Shared React Native surface passed responsive runtime; native interaction remains blocked by host DevToolsSecurity</x:v>
      </x:c>
      <x:c r="AH69" s="16" t="str">
        <x:v>football product route</x:v>
      </x:c>
      <x:c r="AI69" s="16" t="str">
        <x:v>390px viewport with 0 horizontal overflow</x:v>
      </x:c>
      <x:c r="AJ69" s="16" t="str">
        <x:v>0 nested buttons; native semantic tree and VoiceOver remain unverified</x:v>
      </x:c>
      <x:c r="AK69" s="16" t="str">
        <x:v>passed</x:v>
      </x:c>
      <x:c r="AL69" s="16" t="str"/>
      <x:c r="AM69" s="16" t="str">
        <x:v>reviews/ios-native-audit/runtime/2026-07-31/report.merged.json</x:v>
      </x:c>
      <x:c r="AN69" s="16" t="str"/>
      <x:c r="AO69" s="16" t="str">
        <x:v>chore(audit): reconcile responsive route evidence</x:v>
      </x:c>
      <x:c r="AP69" s="16" t="str">
        <x:v>1/1 fresh mapped flows passed on 2026-07-31</x:v>
      </x:c>
      <x:c r="AQ69" s="16" t="str">
        <x:v>Non-destructive responsive route evidence only; exact API request IDs database RLS audit-event and native checks remain explicit separate gaps</x:v>
      </x:c>
    </x:row>
    <x:row r="70" ht="48" customHeight="1">
      <x:c r="A70" s="18" t="str">
        <x:v>ROUTE-038</x:v>
      </x:c>
      <x:c r="B70" s="16" t="str">
        <x:v>parent_book_flow_schedule</x:v>
      </x:c>
      <x:c r="C70" s="16" t="str">
        <x:v>Parent opens schedule step</x:v>
      </x:c>
      <x:c r="D70" s="16" t="str">
        <x:v>parent</x:v>
      </x:c>
      <x:c r="E70" s="16" t="str">
        <x:v>app/book/[coachId]/schedule.tsx</x:v>
      </x:c>
      <x:c r="F70" s="16" t="str">
        <x:v>app/book/[coachId]/schedule.tsx</x:v>
      </x:c>
      <x:c r="G70" s="16" t="str">
        <x:v>responsive route load and configured non-mutating assertions</x:v>
      </x:c>
      <x:c r="H70" s="16" t="str">
        <x:v>iPhone 16 Pro responsive browser viewport</x:v>
      </x:c>
      <x:c r="I70" s="16" t="str">
        <x:v>local Expo web bundle backed by staging API</x:v>
      </x:c>
      <x:c r="J70" s="16" t="str">
        <x:v>/book/usr_65972cc3-8f9b-7199-b867-7df5b7faf34b/schedule</x:v>
      </x:c>
      <x:c r="K70" s="16" t="str">
        <x:v>Authenticated seeded role account and linked staging dataset</x:v>
      </x:c>
      <x:c r="L70" s="16" t="str">
        <x:v>1</x:v>
      </x:c>
      <x:c r="M70" s="16" t="str">
        <x:v>parent_book_flow_schedule</x:v>
      </x:c>
      <x:c r="N70" s="16" t="str">
        <x:v>Navigate directly and execute the flow runner assertions without submitting a product mutation</x:v>
      </x:c>
      <x:c r="O70" s="16" t="str">
        <x:v>Resolve the intended route without a failed request runtime exception shared error state nested button horizontal overflow or product-text finding</x:v>
      </x:c>
      <x:c r="P70" s="16" t="str">
        <x:v>1/1 mapped flows returned status ok and severity none at 390px</x:v>
      </x:c>
      <x:c r="Q70" s="16" t="str">
        <x:v>Browser-observed role-scoped route requests</x:v>
      </x:c>
      <x:c r="R70" s="16" t="str">
        <x:v>No failed request detected; exact endpoint-by-endpoint reconciliation remains a separate audit gap</x:v>
      </x:c>
      <x:c r="S70" s="16" t="str"/>
      <x:c r="T70" s="16" t="str"/>
      <x:c r="U70" s="16" t="str">
        <x:v>No database mutation executed by this route-load regression</x:v>
      </x:c>
      <x:c r="V70" s="16" t="str">
        <x:v>Not directly exercised in this route-load regression</x:v>
      </x:c>
      <x:c r="W70" s="16" t="str">
        <x:v>Not reconciled in this route-load regression</x:v>
      </x:c>
      <x:c r="X70" s="16" t="str"/>
      <x:c r="Y70" s="16" t="str">
        <x:v>Sentry API unavailable; runner detected no runtime exception or console error classified as high or medium</x:v>
      </x:c>
      <x:c r="Z70" s="16" t="str">
        <x:v>parent</x:v>
      </x:c>
      <x:c r="AA70" s="16" t="str">
        <x:v>parent mapped route flow passed</x:v>
      </x:c>
      <x:c r="AB70" s="16" t="str">
        <x:v>automated route pass; manual visual corpus tracked separately</x:v>
      </x:c>
      <x:c r="AC70" s="16" t="str">
        <x:v>configured actions passed where present; otherwise route-load only</x:v>
      </x:c>
      <x:c r="AD70" s="16" t="str">
        <x:v>no automated high or medium finding</x:v>
      </x:c>
      <x:c r="AE70" s="16" t="str">
        <x:v>0 product-text findings</x:v>
      </x:c>
      <x:c r="AF70" s="16" t="str">
        <x:v>0 product-text findings</x:v>
      </x:c>
      <x:c r="AG70" s="16" t="str">
        <x:v>Shared React Native surface passed responsive runtime; native interaction remains blocked by host DevToolsSecurity</x:v>
      </x:c>
      <x:c r="AH70" s="16" t="str">
        <x:v>football product route</x:v>
      </x:c>
      <x:c r="AI70" s="16" t="str">
        <x:v>390px viewport with 0 horizontal overflow</x:v>
      </x:c>
      <x:c r="AJ70" s="16" t="str">
        <x:v>0 nested buttons; native semantic tree and VoiceOver remain unverified</x:v>
      </x:c>
      <x:c r="AK70" s="16" t="str">
        <x:v>passed</x:v>
      </x:c>
      <x:c r="AL70" s="16" t="str"/>
      <x:c r="AM70" s="16" t="str">
        <x:v>reviews/ios-native-audit/runtime/2026-07-31/report.merged.json</x:v>
      </x:c>
      <x:c r="AN70" s="16" t="str"/>
      <x:c r="AO70" s="16" t="str">
        <x:v>chore(audit): reconcile responsive route evidence</x:v>
      </x:c>
      <x:c r="AP70" s="16" t="str">
        <x:v>1/1 fresh mapped flows passed on 2026-07-31</x:v>
      </x:c>
      <x:c r="AQ70" s="16" t="str">
        <x:v>Non-destructive responsive route evidence only; exact API request IDs database RLS audit-event and native checks remain explicit separate gaps</x:v>
      </x:c>
    </x:row>
    <x:row r="71" ht="48" customHeight="1">
      <x:c r="A71" s="18" t="str">
        <x:v>ROUTE-039</x:v>
      </x:c>
      <x:c r="B71" s="16" t="str">
        <x:v>parent_book_flow_type</x:v>
      </x:c>
      <x:c r="C71" s="16" t="str">
        <x:v>Parent opens session-type step</x:v>
      </x:c>
      <x:c r="D71" s="16" t="str">
        <x:v>parent</x:v>
      </x:c>
      <x:c r="E71" s="16" t="str">
        <x:v>app/book/[coachId]/session-type.tsx</x:v>
      </x:c>
      <x:c r="F71" s="16" t="str">
        <x:v>app/book/[coachId]/session-type.tsx</x:v>
      </x:c>
      <x:c r="G71" s="16" t="str">
        <x:v>responsive route load and configured non-mutating assertions</x:v>
      </x:c>
      <x:c r="H71" s="16" t="str">
        <x:v>iPhone 16 Pro responsive browser viewport</x:v>
      </x:c>
      <x:c r="I71" s="16" t="str">
        <x:v>local Expo web bundle backed by staging API</x:v>
      </x:c>
      <x:c r="J71" s="16" t="str">
        <x:v>/book/usr_65972cc3-8f9b-7199-b867-7df5b7faf34b/session-type</x:v>
      </x:c>
      <x:c r="K71" s="16" t="str">
        <x:v>Authenticated seeded role account and linked staging dataset</x:v>
      </x:c>
      <x:c r="L71" s="16" t="str">
        <x:v>1</x:v>
      </x:c>
      <x:c r="M71" s="16" t="str">
        <x:v>parent_book_flow_type</x:v>
      </x:c>
      <x:c r="N71" s="16" t="str">
        <x:v>Navigate directly and execute the flow runner assertions without submitting a product mutation</x:v>
      </x:c>
      <x:c r="O71" s="16" t="str">
        <x:v>Resolve the intended route without a failed request runtime exception shared error state nested button horizontal overflow or product-text finding</x:v>
      </x:c>
      <x:c r="P71" s="16" t="str">
        <x:v>1/1 mapped flows returned status ok and severity none at 390px</x:v>
      </x:c>
      <x:c r="Q71" s="16" t="str">
        <x:v>Browser-observed role-scoped route requests</x:v>
      </x:c>
      <x:c r="R71" s="16" t="str">
        <x:v>No failed request detected; exact endpoint-by-endpoint reconciliation remains a separate audit gap</x:v>
      </x:c>
      <x:c r="S71" s="16" t="str"/>
      <x:c r="T71" s="16" t="str"/>
      <x:c r="U71" s="16" t="str">
        <x:v>No database mutation executed by this route-load regression</x:v>
      </x:c>
      <x:c r="V71" s="16" t="str">
        <x:v>Not directly exercised in this route-load regression</x:v>
      </x:c>
      <x:c r="W71" s="16" t="str">
        <x:v>Not reconciled in this route-load regression</x:v>
      </x:c>
      <x:c r="X71" s="16" t="str"/>
      <x:c r="Y71" s="16" t="str">
        <x:v>Sentry API unavailable; runner detected no runtime exception or console error classified as high or medium</x:v>
      </x:c>
      <x:c r="Z71" s="16" t="str">
        <x:v>parent</x:v>
      </x:c>
      <x:c r="AA71" s="16" t="str">
        <x:v>parent mapped route flow passed</x:v>
      </x:c>
      <x:c r="AB71" s="16" t="str">
        <x:v>automated route pass; manual visual corpus tracked separately</x:v>
      </x:c>
      <x:c r="AC71" s="16" t="str">
        <x:v>configured actions passed where present; otherwise route-load only</x:v>
      </x:c>
      <x:c r="AD71" s="16" t="str">
        <x:v>no automated high or medium finding</x:v>
      </x:c>
      <x:c r="AE71" s="16" t="str">
        <x:v>0 product-text findings</x:v>
      </x:c>
      <x:c r="AF71" s="16" t="str">
        <x:v>0 product-text findings</x:v>
      </x:c>
      <x:c r="AG71" s="16" t="str">
        <x:v>Shared React Native surface passed responsive runtime; native interaction remains blocked by host DevToolsSecurity</x:v>
      </x:c>
      <x:c r="AH71" s="16" t="str">
        <x:v>football product route</x:v>
      </x:c>
      <x:c r="AI71" s="16" t="str">
        <x:v>390px viewport with 0 horizontal overflow</x:v>
      </x:c>
      <x:c r="AJ71" s="16" t="str">
        <x:v>0 nested buttons; native semantic tree and VoiceOver remain unverified</x:v>
      </x:c>
      <x:c r="AK71" s="16" t="str">
        <x:v>passed</x:v>
      </x:c>
      <x:c r="AL71" s="16" t="str"/>
      <x:c r="AM71" s="16" t="str">
        <x:v>reviews/ios-native-audit/runtime/2026-07-31/report.merged.json</x:v>
      </x:c>
      <x:c r="AN71" s="16" t="str"/>
      <x:c r="AO71" s="16" t="str">
        <x:v>chore(audit): reconcile responsive route evidence</x:v>
      </x:c>
      <x:c r="AP71" s="16" t="str">
        <x:v>1/1 fresh mapped flows passed on 2026-07-31</x:v>
      </x:c>
      <x:c r="AQ71" s="16" t="str">
        <x:v>Non-destructive responsive route evidence only; exact API request IDs database RLS audit-event and native checks remain explicit separate gaps</x:v>
      </x:c>
    </x:row>
    <x:row r="72" ht="48" customHeight="1">
      <x:c r="A72" s="18" t="str">
        <x:v>ROUTE-040</x:v>
      </x:c>
      <x:c r="B72" s="16" t="str">
        <x:v>ROUTE-INVENTORY</x:v>
      </x:c>
      <x:c r="C72" s="16" t="str">
        <x:v>Reachable route coverage</x:v>
      </x:c>
      <x:c r="D72" s="16" t="str">
        <x:v>to classify</x:v>
      </x:c>
      <x:c r="E72" s="16" t="str">
        <x:v>app/booking/[id]/cancel.tsx</x:v>
      </x:c>
      <x:c r="F72" s="16" t="str">
        <x:v>app/booking/[id]/cancel.tsx</x:v>
      </x:c>
      <x:c r="G72" s="16" t="str">
        <x:v>inventory</x:v>
      </x:c>
      <x:c r="H72" s="16" t="str"/>
      <x:c r="I72" s="16" t="str">
        <x:v>staging</x:v>
      </x:c>
      <x:c r="J72" s="16" t="str"/>
      <x:c r="K72" s="16" t="str"/>
      <x:c r="L72" s="16" t="str"/>
      <x:c r="M72" s="16" t="str"/>
      <x:c r="N72" s="16" t="str"/>
      <x:c r="O72" s="16" t="str"/>
      <x:c r="P72" s="16" t="str"/>
      <x:c r="Q72" s="16" t="str"/>
      <x:c r="R72" s="16" t="str"/>
      <x:c r="S72" s="16" t="str"/>
      <x:c r="T72" s="16" t="str"/>
      <x:c r="U72" s="16" t="str"/>
      <x:c r="V72" s="16" t="str"/>
      <x:c r="W72" s="16" t="str"/>
      <x:c r="X72" s="16" t="str"/>
      <x:c r="Y72" s="16" t="str"/>
      <x:c r="Z72" s="16" t="str"/>
      <x:c r="AA72" s="16" t="str"/>
      <x:c r="AB72" s="16" t="str"/>
      <x:c r="AC72" s="16" t="str"/>
      <x:c r="AD72" s="16" t="str"/>
      <x:c r="AE72" s="16" t="str"/>
      <x:c r="AF72" s="16" t="str"/>
      <x:c r="AG72" s="16" t="str"/>
      <x:c r="AH72" s="16" t="str"/>
      <x:c r="AI72" s="16" t="str"/>
      <x:c r="AJ72" s="16" t="str"/>
      <x:c r="AK72" s="16" t="str">
        <x:v>pending</x:v>
      </x:c>
      <x:c r="AL72" s="16" t="str"/>
      <x:c r="AM72" s="16" t="str"/>
      <x:c r="AN72" s="16" t="str"/>
      <x:c r="AO72" s="16" t="str"/>
      <x:c r="AP72" s="16" t="str">
        <x:v>pending</x:v>
      </x:c>
      <x:c r="AQ72" s="16" t="str">
        <x:v>Discovered from executable Expo Router tree; runtime coverage pending</x:v>
      </x:c>
    </x:row>
    <x:row r="73" ht="48" customHeight="1">
      <x:c r="A73" s="18" t="str">
        <x:v>ROUTE-041</x:v>
      </x:c>
      <x:c r="B73" s="16" t="str">
        <x:v>ROUTE-INVENTORY</x:v>
      </x:c>
      <x:c r="C73" s="16" t="str">
        <x:v>Reachable route coverage</x:v>
      </x:c>
      <x:c r="D73" s="16" t="str">
        <x:v>to classify</x:v>
      </x:c>
      <x:c r="E73" s="16" t="str">
        <x:v>app/bookings/subscribe.tsx</x:v>
      </x:c>
      <x:c r="F73" s="16" t="str">
        <x:v>app/bookings/subscribe.tsx</x:v>
      </x:c>
      <x:c r="G73" s="16" t="str">
        <x:v>inventory</x:v>
      </x:c>
      <x:c r="H73" s="16" t="str"/>
      <x:c r="I73" s="16" t="str">
        <x:v>staging</x:v>
      </x:c>
      <x:c r="J73" s="16" t="str"/>
      <x:c r="K73" s="16" t="str"/>
      <x:c r="L73" s="16" t="str"/>
      <x:c r="M73" s="16" t="str"/>
      <x:c r="N73" s="16" t="str"/>
      <x:c r="O73" s="16" t="str"/>
      <x:c r="P73" s="16" t="str"/>
      <x:c r="Q73" s="16" t="str"/>
      <x:c r="R73" s="16" t="str"/>
      <x:c r="S73" s="16" t="str"/>
      <x:c r="T73" s="16" t="str"/>
      <x:c r="U73" s="16" t="str"/>
      <x:c r="V73" s="16" t="str"/>
      <x:c r="W73" s="16" t="str"/>
      <x:c r="X73" s="16" t="str"/>
      <x:c r="Y73" s="16" t="str"/>
      <x:c r="Z73" s="16" t="str"/>
      <x:c r="AA73" s="16" t="str"/>
      <x:c r="AB73" s="16" t="str"/>
      <x:c r="AC73" s="16" t="str"/>
      <x:c r="AD73" s="16" t="str"/>
      <x:c r="AE73" s="16" t="str"/>
      <x:c r="AF73" s="16" t="str"/>
      <x:c r="AG73" s="16" t="str"/>
      <x:c r="AH73" s="16" t="str"/>
      <x:c r="AI73" s="16" t="str"/>
      <x:c r="AJ73" s="16" t="str"/>
      <x:c r="AK73" s="16" t="str">
        <x:v>pending</x:v>
      </x:c>
      <x:c r="AL73" s="16" t="str"/>
      <x:c r="AM73" s="16" t="str"/>
      <x:c r="AN73" s="16" t="str"/>
      <x:c r="AO73" s="16" t="str"/>
      <x:c r="AP73" s="16" t="str">
        <x:v>pending</x:v>
      </x:c>
      <x:c r="AQ73" s="16" t="str">
        <x:v>Discovered from executable Expo Router tree; runtime coverage pending</x:v>
      </x:c>
    </x:row>
    <x:row r="74" ht="48" customHeight="1">
      <x:c r="A74" s="18" t="str">
        <x:v>ROUTE-042</x:v>
      </x:c>
      <x:c r="B74" s="16" t="str">
        <x:v>ROUTE-INVENTORY</x:v>
      </x:c>
      <x:c r="C74" s="16" t="str">
        <x:v>Reachable route coverage</x:v>
      </x:c>
      <x:c r="D74" s="16" t="str">
        <x:v>to classify</x:v>
      </x:c>
      <x:c r="E74" s="16" t="str">
        <x:v>app/chat/[threadId].tsx</x:v>
      </x:c>
      <x:c r="F74" s="16" t="str">
        <x:v>app/chat/[threadId].tsx</x:v>
      </x:c>
      <x:c r="G74" s="16" t="str">
        <x:v>inventory</x:v>
      </x:c>
      <x:c r="H74" s="16" t="str"/>
      <x:c r="I74" s="16" t="str">
        <x:v>staging</x:v>
      </x:c>
      <x:c r="J74" s="16" t="str"/>
      <x:c r="K74" s="16" t="str"/>
      <x:c r="L74" s="16" t="str"/>
      <x:c r="M74" s="16" t="str"/>
      <x:c r="N74" s="16" t="str"/>
      <x:c r="O74" s="16" t="str"/>
      <x:c r="P74" s="16" t="str"/>
      <x:c r="Q74" s="16" t="str"/>
      <x:c r="R74" s="16" t="str"/>
      <x:c r="S74" s="16" t="str"/>
      <x:c r="T74" s="16" t="str"/>
      <x:c r="U74" s="16" t="str"/>
      <x:c r="V74" s="16" t="str"/>
      <x:c r="W74" s="16" t="str"/>
      <x:c r="X74" s="16" t="str"/>
      <x:c r="Y74" s="16" t="str"/>
      <x:c r="Z74" s="16" t="str"/>
      <x:c r="AA74" s="16" t="str"/>
      <x:c r="AB74" s="16" t="str"/>
      <x:c r="AC74" s="16" t="str"/>
      <x:c r="AD74" s="16" t="str"/>
      <x:c r="AE74" s="16" t="str"/>
      <x:c r="AF74" s="16" t="str"/>
      <x:c r="AG74" s="16" t="str"/>
      <x:c r="AH74" s="16" t="str"/>
      <x:c r="AI74" s="16" t="str"/>
      <x:c r="AJ74" s="16" t="str"/>
      <x:c r="AK74" s="16" t="str">
        <x:v>pending</x:v>
      </x:c>
      <x:c r="AL74" s="16" t="str"/>
      <x:c r="AM74" s="16" t="str"/>
      <x:c r="AN74" s="16" t="str"/>
      <x:c r="AO74" s="16" t="str"/>
      <x:c r="AP74" s="16" t="str">
        <x:v>pending</x:v>
      </x:c>
      <x:c r="AQ74" s="16" t="str">
        <x:v>Discovered from executable Expo Router tree; runtime coverage pending</x:v>
      </x:c>
    </x:row>
    <x:row r="75" ht="48" customHeight="1">
      <x:c r="A75" s="18" t="str">
        <x:v>ROUTE-043</x:v>
      </x:c>
      <x:c r="B75" s="16" t="str">
        <x:v>athlete_chat_list</x:v>
      </x:c>
      <x:c r="C75" s="16" t="str">
        <x:v>Athlete opens chat list</x:v>
      </x:c>
      <x:c r="D75" s="16" t="str">
        <x:v>athlete</x:v>
      </x:c>
      <x:c r="E75" s="16" t="str">
        <x:v>app/chat/index.tsx</x:v>
      </x:c>
      <x:c r="F75" s="16" t="str">
        <x:v>app/chat/index.tsx</x:v>
      </x:c>
      <x:c r="G75" s="16" t="str">
        <x:v>responsive route load and configured non-mutating assertions</x:v>
      </x:c>
      <x:c r="H75" s="16" t="str">
        <x:v>iPhone 16 Pro responsive browser viewport</x:v>
      </x:c>
      <x:c r="I75" s="16" t="str">
        <x:v>local Expo web bundle backed by staging API</x:v>
      </x:c>
      <x:c r="J75" s="16" t="str">
        <x:v>/chat</x:v>
      </x:c>
      <x:c r="K75" s="16" t="str">
        <x:v>Authenticated seeded role account and linked staging dataset</x:v>
      </x:c>
      <x:c r="L75" s="16" t="str">
        <x:v>1</x:v>
      </x:c>
      <x:c r="M75" s="16" t="str">
        <x:v>athlete_chat_list</x:v>
      </x:c>
      <x:c r="N75" s="16" t="str">
        <x:v>Navigate directly and execute the flow runner assertions without submitting a product mutation</x:v>
      </x:c>
      <x:c r="O75" s="16" t="str">
        <x:v>Resolve the intended route without a failed request runtime exception shared error state nested button horizontal overflow or product-text finding</x:v>
      </x:c>
      <x:c r="P75" s="16" t="str">
        <x:v>1/1 mapped flows returned status ok and severity none at 390px</x:v>
      </x:c>
      <x:c r="Q75" s="16" t="str">
        <x:v>Browser-observed role-scoped route requests</x:v>
      </x:c>
      <x:c r="R75" s="16" t="str">
        <x:v>No failed request detected; exact endpoint-by-endpoint reconciliation remains a separate audit gap</x:v>
      </x:c>
      <x:c r="S75" s="16" t="str"/>
      <x:c r="T75" s="16" t="str"/>
      <x:c r="U75" s="16" t="str">
        <x:v>No database mutation executed by this route-load regression</x:v>
      </x:c>
      <x:c r="V75" s="16" t="str">
        <x:v>Not directly exercised in this route-load regression</x:v>
      </x:c>
      <x:c r="W75" s="16" t="str">
        <x:v>Not reconciled in this route-load regression</x:v>
      </x:c>
      <x:c r="X75" s="16" t="str"/>
      <x:c r="Y75" s="16" t="str">
        <x:v>Sentry API unavailable; runner detected no runtime exception or console error classified as high or medium</x:v>
      </x:c>
      <x:c r="Z75" s="16" t="str">
        <x:v>athlete</x:v>
      </x:c>
      <x:c r="AA75" s="16" t="str">
        <x:v>athlete mapped route flow passed</x:v>
      </x:c>
      <x:c r="AB75" s="16" t="str">
        <x:v>automated route pass; manual visual corpus tracked separately</x:v>
      </x:c>
      <x:c r="AC75" s="16" t="str">
        <x:v>configured actions passed where present; otherwise route-load only</x:v>
      </x:c>
      <x:c r="AD75" s="16" t="str">
        <x:v>no automated high or medium finding</x:v>
      </x:c>
      <x:c r="AE75" s="16" t="str">
        <x:v>0 product-text findings</x:v>
      </x:c>
      <x:c r="AF75" s="16" t="str">
        <x:v>0 product-text findings</x:v>
      </x:c>
      <x:c r="AG75" s="16" t="str">
        <x:v>Shared React Native surface passed responsive runtime; native interaction remains blocked by host DevToolsSecurity</x:v>
      </x:c>
      <x:c r="AH75" s="16" t="str">
        <x:v>football product route</x:v>
      </x:c>
      <x:c r="AI75" s="16" t="str">
        <x:v>390px viewport with 0 horizontal overflow</x:v>
      </x:c>
      <x:c r="AJ75" s="16" t="str">
        <x:v>0 nested buttons; native semantic tree and VoiceOver remain unverified</x:v>
      </x:c>
      <x:c r="AK75" s="16" t="str">
        <x:v>passed</x:v>
      </x:c>
      <x:c r="AL75" s="16" t="str"/>
      <x:c r="AM75" s="16" t="str">
        <x:v>reviews/ios-native-audit/runtime/2026-07-31/report.merged.json</x:v>
      </x:c>
      <x:c r="AN75" s="16" t="str"/>
      <x:c r="AO75" s="16" t="str">
        <x:v>chore(audit): reconcile responsive route evidence</x:v>
      </x:c>
      <x:c r="AP75" s="16" t="str">
        <x:v>1/1 fresh mapped flows passed on 2026-07-31</x:v>
      </x:c>
      <x:c r="AQ75" s="16" t="str">
        <x:v>Non-destructive responsive route evidence only; exact API request IDs database RLS audit-event and native checks remain explicit separate gaps</x:v>
      </x:c>
    </x:row>
    <x:row r="76" ht="48" customHeight="1">
      <x:c r="A76" s="18" t="str">
        <x:v>ROUTE-044</x:v>
      </x:c>
      <x:c r="B76" s="16" t="str">
        <x:v>parent_child_emergency</x:v>
      </x:c>
      <x:c r="C76" s="16" t="str">
        <x:v>Parent opens child emergency profile</x:v>
      </x:c>
      <x:c r="D76" s="16" t="str">
        <x:v>parent</x:v>
      </x:c>
      <x:c r="E76" s="16" t="str">
        <x:v>app/child/[id]/emergency.tsx</x:v>
      </x:c>
      <x:c r="F76" s="16" t="str">
        <x:v>app/child/[id]/emergency.tsx</x:v>
      </x:c>
      <x:c r="G76" s="16" t="str">
        <x:v>responsive route load and configured non-mutating assertions</x:v>
      </x:c>
      <x:c r="H76" s="16" t="str">
        <x:v>iPhone 16 Pro responsive browser viewport</x:v>
      </x:c>
      <x:c r="I76" s="16" t="str">
        <x:v>local Expo web bundle backed by staging API</x:v>
      </x:c>
      <x:c r="J76" s="16" t="str">
        <x:v>/child/ath_7df7ec13-e136-7525-985f-dec069fc983f/emergency</x:v>
      </x:c>
      <x:c r="K76" s="16" t="str">
        <x:v>Authenticated seeded role account and linked staging dataset</x:v>
      </x:c>
      <x:c r="L76" s="16" t="str">
        <x:v>1</x:v>
      </x:c>
      <x:c r="M76" s="16" t="str">
        <x:v>parent_child_emergency</x:v>
      </x:c>
      <x:c r="N76" s="16" t="str">
        <x:v>Navigate directly and execute the flow runner assertions without submitting a product mutation</x:v>
      </x:c>
      <x:c r="O76" s="16" t="str">
        <x:v>Resolve the intended route without a failed request runtime exception shared error state nested button horizontal overflow or product-text finding</x:v>
      </x:c>
      <x:c r="P76" s="16" t="str">
        <x:v>1/1 mapped flows returned status ok and severity none at 390px</x:v>
      </x:c>
      <x:c r="Q76" s="16" t="str">
        <x:v>Browser-observed role-scoped route requests</x:v>
      </x:c>
      <x:c r="R76" s="16" t="str">
        <x:v>No failed request detected; exact endpoint-by-endpoint reconciliation remains a separate audit gap</x:v>
      </x:c>
      <x:c r="S76" s="16" t="str"/>
      <x:c r="T76" s="16" t="str"/>
      <x:c r="U76" s="16" t="str">
        <x:v>No database mutation executed by this route-load regression</x:v>
      </x:c>
      <x:c r="V76" s="16" t="str">
        <x:v>Not directly exercised in this route-load regression</x:v>
      </x:c>
      <x:c r="W76" s="16" t="str">
        <x:v>Not reconciled in this route-load regression</x:v>
      </x:c>
      <x:c r="X76" s="16" t="str"/>
      <x:c r="Y76" s="16" t="str">
        <x:v>Sentry API unavailable; runner detected no runtime exception or console error classified as high or medium</x:v>
      </x:c>
      <x:c r="Z76" s="16" t="str">
        <x:v>parent</x:v>
      </x:c>
      <x:c r="AA76" s="16" t="str">
        <x:v>parent mapped route flow passed</x:v>
      </x:c>
      <x:c r="AB76" s="16" t="str">
        <x:v>automated route pass; manual visual corpus tracked separately</x:v>
      </x:c>
      <x:c r="AC76" s="16" t="str">
        <x:v>configured actions passed where present; otherwise route-load only</x:v>
      </x:c>
      <x:c r="AD76" s="16" t="str">
        <x:v>no automated high or medium finding</x:v>
      </x:c>
      <x:c r="AE76" s="16" t="str">
        <x:v>0 product-text findings</x:v>
      </x:c>
      <x:c r="AF76" s="16" t="str">
        <x:v>0 product-text findings</x:v>
      </x:c>
      <x:c r="AG76" s="16" t="str">
        <x:v>Shared React Native surface passed responsive runtime; native interaction remains blocked by host DevToolsSecurity</x:v>
      </x:c>
      <x:c r="AH76" s="16" t="str">
        <x:v>football product route</x:v>
      </x:c>
      <x:c r="AI76" s="16" t="str">
        <x:v>390px viewport with 0 horizontal overflow</x:v>
      </x:c>
      <x:c r="AJ76" s="16" t="str">
        <x:v>0 nested buttons; native semantic tree and VoiceOver remain unverified</x:v>
      </x:c>
      <x:c r="AK76" s="16" t="str">
        <x:v>passed</x:v>
      </x:c>
      <x:c r="AL76" s="16" t="str"/>
      <x:c r="AM76" s="16" t="str">
        <x:v>reviews/ios-native-audit/runtime/2026-07-31/report.merged.json</x:v>
      </x:c>
      <x:c r="AN76" s="16" t="str"/>
      <x:c r="AO76" s="16" t="str">
        <x:v>chore(audit): reconcile responsive route evidence</x:v>
      </x:c>
      <x:c r="AP76" s="16" t="str">
        <x:v>1/1 fresh mapped flows passed on 2026-07-31</x:v>
      </x:c>
      <x:c r="AQ76" s="16" t="str">
        <x:v>Non-destructive responsive route evidence only; exact API request IDs database RLS audit-event and native checks remain explicit separate gaps</x:v>
      </x:c>
    </x:row>
    <x:row r="77" ht="48" customHeight="1">
      <x:c r="A77" s="18" t="str">
        <x:v>ROUTE-045</x:v>
      </x:c>
      <x:c r="B77" s="16" t="str">
        <x:v>parent_child_medical</x:v>
      </x:c>
      <x:c r="C77" s="16" t="str">
        <x:v>Parent opens child medical profile</x:v>
      </x:c>
      <x:c r="D77" s="16" t="str">
        <x:v>parent</x:v>
      </x:c>
      <x:c r="E77" s="16" t="str">
        <x:v>app/child/[id]/medical.tsx</x:v>
      </x:c>
      <x:c r="F77" s="16" t="str">
        <x:v>app/child/[id]/medical.tsx</x:v>
      </x:c>
      <x:c r="G77" s="16" t="str">
        <x:v>responsive route load and configured non-mutating assertions</x:v>
      </x:c>
      <x:c r="H77" s="16" t="str">
        <x:v>iPhone 16 Pro responsive browser viewport</x:v>
      </x:c>
      <x:c r="I77" s="16" t="str">
        <x:v>local Expo web bundle backed by staging API</x:v>
      </x:c>
      <x:c r="J77" s="16" t="str">
        <x:v>/child/ath_7df7ec13-e136-7525-985f-dec069fc983f/medical</x:v>
      </x:c>
      <x:c r="K77" s="16" t="str">
        <x:v>Authenticated seeded role account and linked staging dataset</x:v>
      </x:c>
      <x:c r="L77" s="16" t="str">
        <x:v>1</x:v>
      </x:c>
      <x:c r="M77" s="16" t="str">
        <x:v>parent_child_medical</x:v>
      </x:c>
      <x:c r="N77" s="16" t="str">
        <x:v>Navigate directly and execute the flow runner assertions without submitting a product mutation</x:v>
      </x:c>
      <x:c r="O77" s="16" t="str">
        <x:v>Resolve the intended route without a failed request runtime exception shared error state nested button horizontal overflow or product-text finding</x:v>
      </x:c>
      <x:c r="P77" s="16" t="str">
        <x:v>1/1 mapped flows returned status ok and severity none at 390px</x:v>
      </x:c>
      <x:c r="Q77" s="16" t="str">
        <x:v>Browser-observed role-scoped route requests</x:v>
      </x:c>
      <x:c r="R77" s="16" t="str">
        <x:v>No failed request detected; exact endpoint-by-endpoint reconciliation remains a separate audit gap</x:v>
      </x:c>
      <x:c r="S77" s="16" t="str"/>
      <x:c r="T77" s="16" t="str"/>
      <x:c r="U77" s="16" t="str">
        <x:v>No database mutation executed by this route-load regression</x:v>
      </x:c>
      <x:c r="V77" s="16" t="str">
        <x:v>Not directly exercised in this route-load regression</x:v>
      </x:c>
      <x:c r="W77" s="16" t="str">
        <x:v>Not reconciled in this route-load regression</x:v>
      </x:c>
      <x:c r="X77" s="16" t="str"/>
      <x:c r="Y77" s="16" t="str">
        <x:v>Sentry API unavailable; runner detected no runtime exception or console error classified as high or medium</x:v>
      </x:c>
      <x:c r="Z77" s="16" t="str">
        <x:v>parent</x:v>
      </x:c>
      <x:c r="AA77" s="16" t="str">
        <x:v>parent mapped route flow passed</x:v>
      </x:c>
      <x:c r="AB77" s="16" t="str">
        <x:v>automated route pass; manual visual corpus tracked separately</x:v>
      </x:c>
      <x:c r="AC77" s="16" t="str">
        <x:v>configured actions passed where present; otherwise route-load only</x:v>
      </x:c>
      <x:c r="AD77" s="16" t="str">
        <x:v>no automated high or medium finding</x:v>
      </x:c>
      <x:c r="AE77" s="16" t="str">
        <x:v>0 product-text findings</x:v>
      </x:c>
      <x:c r="AF77" s="16" t="str">
        <x:v>0 product-text findings</x:v>
      </x:c>
      <x:c r="AG77" s="16" t="str">
        <x:v>Shared React Native surface passed responsive runtime; native interaction remains blocked by host DevToolsSecurity</x:v>
      </x:c>
      <x:c r="AH77" s="16" t="str">
        <x:v>football product route</x:v>
      </x:c>
      <x:c r="AI77" s="16" t="str">
        <x:v>390px viewport with 0 horizontal overflow</x:v>
      </x:c>
      <x:c r="AJ77" s="16" t="str">
        <x:v>0 nested buttons; native semantic tree and VoiceOver remain unverified</x:v>
      </x:c>
      <x:c r="AK77" s="16" t="str">
        <x:v>passed</x:v>
      </x:c>
      <x:c r="AL77" s="16" t="str"/>
      <x:c r="AM77" s="16" t="str">
        <x:v>reviews/ios-native-audit/runtime/2026-07-31/report.merged.json</x:v>
      </x:c>
      <x:c r="AN77" s="16" t="str"/>
      <x:c r="AO77" s="16" t="str">
        <x:v>chore(audit): reconcile responsive route evidence</x:v>
      </x:c>
      <x:c r="AP77" s="16" t="str">
        <x:v>1/1 fresh mapped flows passed on 2026-07-31</x:v>
      </x:c>
      <x:c r="AQ77" s="16" t="str">
        <x:v>Non-destructive responsive route evidence only; exact API request IDs database RLS audit-event and native checks remain explicit separate gaps</x:v>
      </x:c>
    </x:row>
    <x:row r="78" ht="48" customHeight="1">
      <x:c r="A78" s="18" t="str">
        <x:v>ROUTE-046</x:v>
      </x:c>
      <x:c r="B78" s="16" t="str">
        <x:v>ROUTE-INVENTORY</x:v>
      </x:c>
      <x:c r="C78" s="16" t="str">
        <x:v>Reachable route coverage</x:v>
      </x:c>
      <x:c r="D78" s="16" t="str">
        <x:v>to classify</x:v>
      </x:c>
      <x:c r="E78" s="16" t="str">
        <x:v>app/club/[clubId]/calendar.tsx</x:v>
      </x:c>
      <x:c r="F78" s="16" t="str">
        <x:v>app/club/[clubId]/calendar.tsx</x:v>
      </x:c>
      <x:c r="G78" s="16" t="str">
        <x:v>inventory</x:v>
      </x:c>
      <x:c r="H78" s="16" t="str"/>
      <x:c r="I78" s="16" t="str">
        <x:v>staging</x:v>
      </x:c>
      <x:c r="J78" s="16" t="str"/>
      <x:c r="K78" s="16" t="str"/>
      <x:c r="L78" s="16" t="str"/>
      <x:c r="M78" s="16" t="str"/>
      <x:c r="N78" s="16" t="str"/>
      <x:c r="O78" s="16" t="str"/>
      <x:c r="P78" s="16" t="str"/>
      <x:c r="Q78" s="16" t="str"/>
      <x:c r="R78" s="16" t="str"/>
      <x:c r="S78" s="16" t="str"/>
      <x:c r="T78" s="16" t="str"/>
      <x:c r="U78" s="16" t="str"/>
      <x:c r="V78" s="16" t="str"/>
      <x:c r="W78" s="16" t="str"/>
      <x:c r="X78" s="16" t="str"/>
      <x:c r="Y78" s="16" t="str"/>
      <x:c r="Z78" s="16" t="str"/>
      <x:c r="AA78" s="16" t="str"/>
      <x:c r="AB78" s="16" t="str"/>
      <x:c r="AC78" s="16" t="str"/>
      <x:c r="AD78" s="16" t="str"/>
      <x:c r="AE78" s="16" t="str"/>
      <x:c r="AF78" s="16" t="str"/>
      <x:c r="AG78" s="16" t="str"/>
      <x:c r="AH78" s="16" t="str"/>
      <x:c r="AI78" s="16" t="str"/>
      <x:c r="AJ78" s="16" t="str"/>
      <x:c r="AK78" s="16" t="str">
        <x:v>pending</x:v>
      </x:c>
      <x:c r="AL78" s="16" t="str"/>
      <x:c r="AM78" s="16" t="str"/>
      <x:c r="AN78" s="16" t="str"/>
      <x:c r="AO78" s="16" t="str"/>
      <x:c r="AP78" s="16" t="str">
        <x:v>pending</x:v>
      </x:c>
      <x:c r="AQ78" s="16" t="str">
        <x:v>Discovered from executable Expo Router tree; runtime coverage pending</x:v>
      </x:c>
    </x:row>
    <x:row r="79" ht="48" customHeight="1">
      <x:c r="A79" s="18" t="str">
        <x:v>ROUTE-047</x:v>
      </x:c>
      <x:c r="B79" s="16" t="str">
        <x:v>owner_dashboard</x:v>
      </x:c>
      <x:c r="C79" s="16" t="str">
        <x:v>Owner opens club dashboard</x:v>
      </x:c>
      <x:c r="D79" s="16" t="str">
        <x:v>club admin</x:v>
      </x:c>
      <x:c r="E79" s="16" t="str">
        <x:v>app/club/[clubId]/dashboard.tsx</x:v>
      </x:c>
      <x:c r="F79" s="16" t="str">
        <x:v>app/club/[clubId]/dashboard.tsx</x:v>
      </x:c>
      <x:c r="G79" s="16" t="str">
        <x:v>responsive route load and configured non-mutating assertions</x:v>
      </x:c>
      <x:c r="H79" s="16" t="str">
        <x:v>iPhone 16 Pro responsive browser viewport</x:v>
      </x:c>
      <x:c r="I79" s="16" t="str">
        <x:v>local Expo web bundle backed by staging API</x:v>
      </x:c>
      <x:c r="J79" s="16" t="str">
        <x:v>/club/clb_4ee614a0-62ee-73ff-9328-0f74a326c2c1/dashboard</x:v>
      </x:c>
      <x:c r="K79" s="16" t="str">
        <x:v>Authenticated seeded role account and linked staging dataset</x:v>
      </x:c>
      <x:c r="L79" s="16" t="str">
        <x:v>1</x:v>
      </x:c>
      <x:c r="M79" s="16" t="str">
        <x:v>owner_dashboard</x:v>
      </x:c>
      <x:c r="N79" s="16" t="str">
        <x:v>Navigate directly and execute the flow runner assertions without submitting a product mutation</x:v>
      </x:c>
      <x:c r="O79" s="16" t="str">
        <x:v>Resolve the intended route without a failed request runtime exception shared error state nested button horizontal overflow or product-text finding</x:v>
      </x:c>
      <x:c r="P79" s="16" t="str">
        <x:v>1/1 mapped flows returned status ok and severity none at 390px</x:v>
      </x:c>
      <x:c r="Q79" s="16" t="str">
        <x:v>Browser-observed role-scoped route requests</x:v>
      </x:c>
      <x:c r="R79" s="16" t="str">
        <x:v>No failed request detected; exact endpoint-by-endpoint reconciliation remains a separate audit gap</x:v>
      </x:c>
      <x:c r="S79" s="16" t="str"/>
      <x:c r="T79" s="16" t="str"/>
      <x:c r="U79" s="16" t="str">
        <x:v>No database mutation executed by this route-load regression</x:v>
      </x:c>
      <x:c r="V79" s="16" t="str">
        <x:v>Not directly exercised in this route-load regression</x:v>
      </x:c>
      <x:c r="W79" s="16" t="str">
        <x:v>Not reconciled in this route-load regression</x:v>
      </x:c>
      <x:c r="X79" s="16" t="str"/>
      <x:c r="Y79" s="16" t="str">
        <x:v>Sentry API unavailable; runner detected no runtime exception or console error classified as high or medium</x:v>
      </x:c>
      <x:c r="Z79" s="16" t="str">
        <x:v>club admin</x:v>
      </x:c>
      <x:c r="AA79" s="16" t="str">
        <x:v>club admin mapped route flow passed</x:v>
      </x:c>
      <x:c r="AB79" s="16" t="str">
        <x:v>automated route pass; manual visual corpus tracked separately</x:v>
      </x:c>
      <x:c r="AC79" s="16" t="str">
        <x:v>configured actions passed where present; otherwise route-load only</x:v>
      </x:c>
      <x:c r="AD79" s="16" t="str">
        <x:v>no automated high or medium finding</x:v>
      </x:c>
      <x:c r="AE79" s="16" t="str">
        <x:v>0 product-text findings</x:v>
      </x:c>
      <x:c r="AF79" s="16" t="str">
        <x:v>0 product-text findings</x:v>
      </x:c>
      <x:c r="AG79" s="16" t="str">
        <x:v>Shared React Native surface passed responsive runtime; native interaction remains blocked by host DevToolsSecurity</x:v>
      </x:c>
      <x:c r="AH79" s="16" t="str">
        <x:v>football product route</x:v>
      </x:c>
      <x:c r="AI79" s="16" t="str">
        <x:v>390px viewport with 0 horizontal overflow</x:v>
      </x:c>
      <x:c r="AJ79" s="16" t="str">
        <x:v>0 nested buttons; native semantic tree and VoiceOver remain unverified</x:v>
      </x:c>
      <x:c r="AK79" s="16" t="str">
        <x:v>passed</x:v>
      </x:c>
      <x:c r="AL79" s="16" t="str"/>
      <x:c r="AM79" s="16" t="str">
        <x:v>reviews/ios-native-audit/runtime/2026-07-31/report.merged.json</x:v>
      </x:c>
      <x:c r="AN79" s="16" t="str"/>
      <x:c r="AO79" s="16" t="str">
        <x:v>chore(audit): reconcile responsive route evidence</x:v>
      </x:c>
      <x:c r="AP79" s="16" t="str">
        <x:v>1/1 fresh mapped flows passed on 2026-07-31</x:v>
      </x:c>
      <x:c r="AQ79" s="16" t="str">
        <x:v>Non-destructive responsive route evidence only; exact API request IDs database RLS audit-event and native checks remain explicit separate gaps</x:v>
      </x:c>
    </x:row>
    <x:row r="80" ht="48" customHeight="1">
      <x:c r="A80" s="18" t="str">
        <x:v>ROUTE-048</x:v>
      </x:c>
      <x:c r="B80" s="16" t="str">
        <x:v>ROUTE-INVENTORY</x:v>
      </x:c>
      <x:c r="C80" s="16" t="str">
        <x:v>Reachable route coverage</x:v>
      </x:c>
      <x:c r="D80" s="16" t="str">
        <x:v>to classify</x:v>
      </x:c>
      <x:c r="E80" s="16" t="str">
        <x:v>app/club/[clubId]/member/[memberId].tsx</x:v>
      </x:c>
      <x:c r="F80" s="16" t="str">
        <x:v>app/club/[clubId]/member/[memberId].tsx</x:v>
      </x:c>
      <x:c r="G80" s="16" t="str">
        <x:v>inventory</x:v>
      </x:c>
      <x:c r="H80" s="16" t="str"/>
      <x:c r="I80" s="16" t="str">
        <x:v>staging</x:v>
      </x:c>
      <x:c r="J80" s="16" t="str"/>
      <x:c r="K80" s="16" t="str"/>
      <x:c r="L80" s="16" t="str"/>
      <x:c r="M80" s="16" t="str"/>
      <x:c r="N80" s="16" t="str"/>
      <x:c r="O80" s="16" t="str"/>
      <x:c r="P80" s="16" t="str"/>
      <x:c r="Q80" s="16" t="str"/>
      <x:c r="R80" s="16" t="str"/>
      <x:c r="S80" s="16" t="str"/>
      <x:c r="T80" s="16" t="str"/>
      <x:c r="U80" s="16" t="str"/>
      <x:c r="V80" s="16" t="str"/>
      <x:c r="W80" s="16" t="str"/>
      <x:c r="X80" s="16" t="str"/>
      <x:c r="Y80" s="16" t="str"/>
      <x:c r="Z80" s="16" t="str"/>
      <x:c r="AA80" s="16" t="str"/>
      <x:c r="AB80" s="16" t="str"/>
      <x:c r="AC80" s="16" t="str"/>
      <x:c r="AD80" s="16" t="str"/>
      <x:c r="AE80" s="16" t="str"/>
      <x:c r="AF80" s="16" t="str"/>
      <x:c r="AG80" s="16" t="str"/>
      <x:c r="AH80" s="16" t="str"/>
      <x:c r="AI80" s="16" t="str"/>
      <x:c r="AJ80" s="16" t="str"/>
      <x:c r="AK80" s="16" t="str">
        <x:v>pending</x:v>
      </x:c>
      <x:c r="AL80" s="16" t="str"/>
      <x:c r="AM80" s="16" t="str"/>
      <x:c r="AN80" s="16" t="str"/>
      <x:c r="AO80" s="16" t="str"/>
      <x:c r="AP80" s="16" t="str">
        <x:v>pending</x:v>
      </x:c>
      <x:c r="AQ80" s="16" t="str">
        <x:v>Discovered from executable Expo Router tree; runtime coverage pending</x:v>
      </x:c>
    </x:row>
    <x:row r="81" ht="48" customHeight="1">
      <x:c r="A81" s="18" t="str">
        <x:v>ROUTE-049</x:v>
      </x:c>
      <x:c r="B81" s="16" t="str">
        <x:v>ROUTE-INVENTORY</x:v>
      </x:c>
      <x:c r="C81" s="16" t="str">
        <x:v>Reachable route coverage</x:v>
      </x:c>
      <x:c r="D81" s="16" t="str">
        <x:v>to classify</x:v>
      </x:c>
      <x:c r="E81" s="16" t="str">
        <x:v>app/club/[id].tsx</x:v>
      </x:c>
      <x:c r="F81" s="16" t="str">
        <x:v>app/club/[id].tsx</x:v>
      </x:c>
      <x:c r="G81" s="16" t="str">
        <x:v>inventory</x:v>
      </x:c>
      <x:c r="H81" s="16" t="str"/>
      <x:c r="I81" s="16" t="str">
        <x:v>staging</x:v>
      </x:c>
      <x:c r="J81" s="16" t="str"/>
      <x:c r="K81" s="16" t="str"/>
      <x:c r="L81" s="16" t="str"/>
      <x:c r="M81" s="16" t="str"/>
      <x:c r="N81" s="16" t="str"/>
      <x:c r="O81" s="16" t="str"/>
      <x:c r="P81" s="16" t="str"/>
      <x:c r="Q81" s="16" t="str"/>
      <x:c r="R81" s="16" t="str"/>
      <x:c r="S81" s="16" t="str"/>
      <x:c r="T81" s="16" t="str"/>
      <x:c r="U81" s="16" t="str"/>
      <x:c r="V81" s="16" t="str"/>
      <x:c r="W81" s="16" t="str"/>
      <x:c r="X81" s="16" t="str"/>
      <x:c r="Y81" s="16" t="str"/>
      <x:c r="Z81" s="16" t="str"/>
      <x:c r="AA81" s="16" t="str"/>
      <x:c r="AB81" s="16" t="str"/>
      <x:c r="AC81" s="16" t="str"/>
      <x:c r="AD81" s="16" t="str"/>
      <x:c r="AE81" s="16" t="str"/>
      <x:c r="AF81" s="16" t="str"/>
      <x:c r="AG81" s="16" t="str"/>
      <x:c r="AH81" s="16" t="str"/>
      <x:c r="AI81" s="16" t="str"/>
      <x:c r="AJ81" s="16" t="str"/>
      <x:c r="AK81" s="16" t="str">
        <x:v>pending</x:v>
      </x:c>
      <x:c r="AL81" s="16" t="str"/>
      <x:c r="AM81" s="16" t="str"/>
      <x:c r="AN81" s="16" t="str"/>
      <x:c r="AO81" s="16" t="str"/>
      <x:c r="AP81" s="16" t="str">
        <x:v>pending</x:v>
      </x:c>
      <x:c r="AQ81" s="16" t="str">
        <x:v>Discovered from executable Expo Router tree; runtime coverage pending</x:v>
      </x:c>
    </x:row>
    <x:row r="82" ht="48" customHeight="1">
      <x:c r="A82" s="18" t="str">
        <x:v>ROUTE-050</x:v>
      </x:c>
      <x:c r="B82" s="16" t="str">
        <x:v>ROUTE-INVENTORY</x:v>
      </x:c>
      <x:c r="C82" s="16" t="str">
        <x:v>Reachable route coverage</x:v>
      </x:c>
      <x:c r="D82" s="16" t="str">
        <x:v>to classify</x:v>
      </x:c>
      <x:c r="E82" s="16" t="str">
        <x:v>app/club/[id]/activity/[activityId].tsx</x:v>
      </x:c>
      <x:c r="F82" s="16" t="str">
        <x:v>app/club/[id]/activity/[activityId].tsx</x:v>
      </x:c>
      <x:c r="G82" s="16" t="str">
        <x:v>inventory</x:v>
      </x:c>
      <x:c r="H82" s="16" t="str"/>
      <x:c r="I82" s="16" t="str">
        <x:v>staging</x:v>
      </x:c>
      <x:c r="J82" s="16" t="str"/>
      <x:c r="K82" s="16" t="str"/>
      <x:c r="L82" s="16" t="str"/>
      <x:c r="M82" s="16" t="str"/>
      <x:c r="N82" s="16" t="str"/>
      <x:c r="O82" s="16" t="str"/>
      <x:c r="P82" s="16" t="str"/>
      <x:c r="Q82" s="16" t="str"/>
      <x:c r="R82" s="16" t="str"/>
      <x:c r="S82" s="16" t="str"/>
      <x:c r="T82" s="16" t="str"/>
      <x:c r="U82" s="16" t="str"/>
      <x:c r="V82" s="16" t="str"/>
      <x:c r="W82" s="16" t="str"/>
      <x:c r="X82" s="16" t="str"/>
      <x:c r="Y82" s="16" t="str"/>
      <x:c r="Z82" s="16" t="str"/>
      <x:c r="AA82" s="16" t="str"/>
      <x:c r="AB82" s="16" t="str"/>
      <x:c r="AC82" s="16" t="str"/>
      <x:c r="AD82" s="16" t="str"/>
      <x:c r="AE82" s="16" t="str"/>
      <x:c r="AF82" s="16" t="str"/>
      <x:c r="AG82" s="16" t="str"/>
      <x:c r="AH82" s="16" t="str"/>
      <x:c r="AI82" s="16" t="str"/>
      <x:c r="AJ82" s="16" t="str"/>
      <x:c r="AK82" s="16" t="str">
        <x:v>pending</x:v>
      </x:c>
      <x:c r="AL82" s="16" t="str"/>
      <x:c r="AM82" s="16" t="str"/>
      <x:c r="AN82" s="16" t="str"/>
      <x:c r="AO82" s="16" t="str"/>
      <x:c r="AP82" s="16" t="str">
        <x:v>pending</x:v>
      </x:c>
      <x:c r="AQ82" s="16" t="str">
        <x:v>Discovered from executable Expo Router tree; runtime coverage pending</x:v>
      </x:c>
    </x:row>
    <x:row r="83" ht="48" customHeight="1">
      <x:c r="A83" s="18" t="str">
        <x:v>ROUTE-051</x:v>
      </x:c>
      <x:c r="B83" s="16" t="str">
        <x:v>ROUTE-INVENTORY</x:v>
      </x:c>
      <x:c r="C83" s="16" t="str">
        <x:v>Reachable route coverage</x:v>
      </x:c>
      <x:c r="D83" s="16" t="str">
        <x:v>to classify</x:v>
      </x:c>
      <x:c r="E83" s="16" t="str">
        <x:v>app/club/[id]/schedule.tsx</x:v>
      </x:c>
      <x:c r="F83" s="16" t="str">
        <x:v>app/club/[id]/schedule.tsx</x:v>
      </x:c>
      <x:c r="G83" s="16" t="str">
        <x:v>inventory</x:v>
      </x:c>
      <x:c r="H83" s="16" t="str"/>
      <x:c r="I83" s="16" t="str">
        <x:v>staging</x:v>
      </x:c>
      <x:c r="J83" s="16" t="str"/>
      <x:c r="K83" s="16" t="str"/>
      <x:c r="L83" s="16" t="str"/>
      <x:c r="M83" s="16" t="str"/>
      <x:c r="N83" s="16" t="str"/>
      <x:c r="O83" s="16" t="str"/>
      <x:c r="P83" s="16" t="str"/>
      <x:c r="Q83" s="16" t="str"/>
      <x:c r="R83" s="16" t="str"/>
      <x:c r="S83" s="16" t="str"/>
      <x:c r="T83" s="16" t="str"/>
      <x:c r="U83" s="16" t="str"/>
      <x:c r="V83" s="16" t="str"/>
      <x:c r="W83" s="16" t="str"/>
      <x:c r="X83" s="16" t="str"/>
      <x:c r="Y83" s="16" t="str"/>
      <x:c r="Z83" s="16" t="str"/>
      <x:c r="AA83" s="16" t="str"/>
      <x:c r="AB83" s="16" t="str"/>
      <x:c r="AC83" s="16" t="str"/>
      <x:c r="AD83" s="16" t="str"/>
      <x:c r="AE83" s="16" t="str"/>
      <x:c r="AF83" s="16" t="str"/>
      <x:c r="AG83" s="16" t="str"/>
      <x:c r="AH83" s="16" t="str"/>
      <x:c r="AI83" s="16" t="str"/>
      <x:c r="AJ83" s="16" t="str"/>
      <x:c r="AK83" s="16" t="str">
        <x:v>pending</x:v>
      </x:c>
      <x:c r="AL83" s="16" t="str"/>
      <x:c r="AM83" s="16" t="str"/>
      <x:c r="AN83" s="16" t="str"/>
      <x:c r="AO83" s="16" t="str"/>
      <x:c r="AP83" s="16" t="str">
        <x:v>pending</x:v>
      </x:c>
      <x:c r="AQ83" s="16" t="str">
        <x:v>Discovered from executable Expo Router tree; runtime coverage pending</x:v>
      </x:c>
    </x:row>
    <x:row r="84" ht="48" customHeight="1">
      <x:c r="A84" s="18" t="str">
        <x:v>ROUTE-052</x:v>
      </x:c>
      <x:c r="B84" s="16" t="str">
        <x:v>coach_club_create</x:v>
      </x:c>
      <x:c r="C84" s="16" t="str">
        <x:v>Coach opens create club</x:v>
      </x:c>
      <x:c r="D84" s="16" t="str">
        <x:v>coach</x:v>
      </x:c>
      <x:c r="E84" s="16" t="str">
        <x:v>app/club/create.tsx</x:v>
      </x:c>
      <x:c r="F84" s="16" t="str">
        <x:v>app/club/create.tsx</x:v>
      </x:c>
      <x:c r="G84" s="16" t="str">
        <x:v>responsive route load and configured non-mutating assertions</x:v>
      </x:c>
      <x:c r="H84" s="16" t="str">
        <x:v>iPhone 16 Pro responsive browser viewport</x:v>
      </x:c>
      <x:c r="I84" s="16" t="str">
        <x:v>local Expo web bundle backed by staging API</x:v>
      </x:c>
      <x:c r="J84" s="16" t="str">
        <x:v>/club/create</x:v>
      </x:c>
      <x:c r="K84" s="16" t="str">
        <x:v>Authenticated seeded role account and linked staging dataset</x:v>
      </x:c>
      <x:c r="L84" s="16" t="str">
        <x:v>1</x:v>
      </x:c>
      <x:c r="M84" s="16" t="str">
        <x:v>coach_club_create</x:v>
      </x:c>
      <x:c r="N84" s="16" t="str">
        <x:v>Navigate directly and execute the flow runner assertions without submitting a product mutation</x:v>
      </x:c>
      <x:c r="O84" s="16" t="str">
        <x:v>Resolve the intended route without a failed request runtime exception shared error state nested button horizontal overflow or product-text finding</x:v>
      </x:c>
      <x:c r="P84" s="16" t="str">
        <x:v>1/1 mapped flows returned status ok and severity none at 390px</x:v>
      </x:c>
      <x:c r="Q84" s="16" t="str">
        <x:v>Browser-observed role-scoped route requests</x:v>
      </x:c>
      <x:c r="R84" s="16" t="str">
        <x:v>No failed request detected; exact endpoint-by-endpoint reconciliation remains a separate audit gap</x:v>
      </x:c>
      <x:c r="S84" s="16" t="str"/>
      <x:c r="T84" s="16" t="str"/>
      <x:c r="U84" s="16" t="str">
        <x:v>No database mutation executed by this route-load regression</x:v>
      </x:c>
      <x:c r="V84" s="16" t="str">
        <x:v>Not directly exercised in this route-load regression</x:v>
      </x:c>
      <x:c r="W84" s="16" t="str">
        <x:v>Not reconciled in this route-load regression</x:v>
      </x:c>
      <x:c r="X84" s="16" t="str"/>
      <x:c r="Y84" s="16" t="str">
        <x:v>Sentry API unavailable; runner detected no runtime exception or console error classified as high or medium</x:v>
      </x:c>
      <x:c r="Z84" s="16" t="str">
        <x:v>coach</x:v>
      </x:c>
      <x:c r="AA84" s="16" t="str">
        <x:v>coach mapped route flow passed</x:v>
      </x:c>
      <x:c r="AB84" s="16" t="str">
        <x:v>automated route pass; manual visual corpus tracked separately</x:v>
      </x:c>
      <x:c r="AC84" s="16" t="str">
        <x:v>configured actions passed where present; otherwise route-load only</x:v>
      </x:c>
      <x:c r="AD84" s="16" t="str">
        <x:v>no automated high or medium finding</x:v>
      </x:c>
      <x:c r="AE84" s="16" t="str">
        <x:v>0 product-text findings</x:v>
      </x:c>
      <x:c r="AF84" s="16" t="str">
        <x:v>0 product-text findings</x:v>
      </x:c>
      <x:c r="AG84" s="16" t="str">
        <x:v>Shared React Native surface passed responsive runtime; native interaction remains blocked by host DevToolsSecurity</x:v>
      </x:c>
      <x:c r="AH84" s="16" t="str">
        <x:v>football product route</x:v>
      </x:c>
      <x:c r="AI84" s="16" t="str">
        <x:v>390px viewport with 0 horizontal overflow</x:v>
      </x:c>
      <x:c r="AJ84" s="16" t="str">
        <x:v>0 nested buttons; native semantic tree and VoiceOver remain unverified</x:v>
      </x:c>
      <x:c r="AK84" s="16" t="str">
        <x:v>passed</x:v>
      </x:c>
      <x:c r="AL84" s="16" t="str"/>
      <x:c r="AM84" s="16" t="str">
        <x:v>reviews/ios-native-audit/runtime/2026-07-31/report.merged.json</x:v>
      </x:c>
      <x:c r="AN84" s="16" t="str"/>
      <x:c r="AO84" s="16" t="str">
        <x:v>chore(audit): reconcile responsive route evidence</x:v>
      </x:c>
      <x:c r="AP84" s="16" t="str">
        <x:v>1/1 fresh mapped flows passed on 2026-07-31</x:v>
      </x:c>
      <x:c r="AQ84" s="16" t="str">
        <x:v>Non-destructive responsive route evidence only; exact API request IDs database RLS audit-event and native checks remain explicit separate gaps</x:v>
      </x:c>
    </x:row>
    <x:row r="85" ht="48" customHeight="1">
      <x:c r="A85" s="18" t="str">
        <x:v>ROUTE-053</x:v>
      </x:c>
      <x:c r="B85" s="16" t="str">
        <x:v>coach_club_invite_members</x:v>
      </x:c>
      <x:c r="C85" s="16" t="str">
        <x:v>Coach opens club invite members</x:v>
      </x:c>
      <x:c r="D85" s="16" t="str">
        <x:v>coach</x:v>
      </x:c>
      <x:c r="E85" s="16" t="str">
        <x:v>app/club/invite-members.tsx</x:v>
      </x:c>
      <x:c r="F85" s="16" t="str">
        <x:v>app/club/invite-members.tsx</x:v>
      </x:c>
      <x:c r="G85" s="16" t="str">
        <x:v>responsive route load and configured non-mutating assertions</x:v>
      </x:c>
      <x:c r="H85" s="16" t="str">
        <x:v>iPhone 16 Pro responsive browser viewport</x:v>
      </x:c>
      <x:c r="I85" s="16" t="str">
        <x:v>local Expo web bundle backed by staging API</x:v>
      </x:c>
      <x:c r="J85" s="16" t="str">
        <x:v>/club/invite-members</x:v>
      </x:c>
      <x:c r="K85" s="16" t="str">
        <x:v>Authenticated seeded role account and linked staging dataset</x:v>
      </x:c>
      <x:c r="L85" s="16" t="str">
        <x:v>1</x:v>
      </x:c>
      <x:c r="M85" s="16" t="str">
        <x:v>coach_club_invite_members</x:v>
      </x:c>
      <x:c r="N85" s="16" t="str">
        <x:v>Navigate directly and execute the flow runner assertions without submitting a product mutation</x:v>
      </x:c>
      <x:c r="O85" s="16" t="str">
        <x:v>Resolve the intended route without a failed request runtime exception shared error state nested button horizontal overflow or product-text finding</x:v>
      </x:c>
      <x:c r="P85" s="16" t="str">
        <x:v>1/1 mapped flows returned status ok and severity none at 390px</x:v>
      </x:c>
      <x:c r="Q85" s="16" t="str">
        <x:v>Browser-observed role-scoped route requests</x:v>
      </x:c>
      <x:c r="R85" s="16" t="str">
        <x:v>No failed request detected; exact endpoint-by-endpoint reconciliation remains a separate audit gap</x:v>
      </x:c>
      <x:c r="S85" s="16" t="str"/>
      <x:c r="T85" s="16" t="str"/>
      <x:c r="U85" s="16" t="str">
        <x:v>No database mutation executed by this route-load regression</x:v>
      </x:c>
      <x:c r="V85" s="16" t="str">
        <x:v>Not directly exercised in this route-load regression</x:v>
      </x:c>
      <x:c r="W85" s="16" t="str">
        <x:v>Not reconciled in this route-load regression</x:v>
      </x:c>
      <x:c r="X85" s="16" t="str"/>
      <x:c r="Y85" s="16" t="str">
        <x:v>Sentry API unavailable; runner detected no runtime exception or console error classified as high or medium</x:v>
      </x:c>
      <x:c r="Z85" s="16" t="str">
        <x:v>coach</x:v>
      </x:c>
      <x:c r="AA85" s="16" t="str">
        <x:v>coach mapped route flow passed</x:v>
      </x:c>
      <x:c r="AB85" s="16" t="str">
        <x:v>automated route pass; manual visual corpus tracked separately</x:v>
      </x:c>
      <x:c r="AC85" s="16" t="str">
        <x:v>configured actions passed where present; otherwise route-load only</x:v>
      </x:c>
      <x:c r="AD85" s="16" t="str">
        <x:v>no automated high or medium finding</x:v>
      </x:c>
      <x:c r="AE85" s="16" t="str">
        <x:v>0 product-text findings</x:v>
      </x:c>
      <x:c r="AF85" s="16" t="str">
        <x:v>0 product-text findings</x:v>
      </x:c>
      <x:c r="AG85" s="16" t="str">
        <x:v>Shared React Native surface passed responsive runtime; native interaction remains blocked by host DevToolsSecurity</x:v>
      </x:c>
      <x:c r="AH85" s="16" t="str">
        <x:v>football product route</x:v>
      </x:c>
      <x:c r="AI85" s="16" t="str">
        <x:v>390px viewport with 0 horizontal overflow</x:v>
      </x:c>
      <x:c r="AJ85" s="16" t="str">
        <x:v>0 nested buttons; native semantic tree and VoiceOver remain unverified</x:v>
      </x:c>
      <x:c r="AK85" s="16" t="str">
        <x:v>passed</x:v>
      </x:c>
      <x:c r="AL85" s="16" t="str"/>
      <x:c r="AM85" s="16" t="str">
        <x:v>reviews/ios-native-audit/runtime/2026-07-31/report.merged.json</x:v>
      </x:c>
      <x:c r="AN85" s="16" t="str"/>
      <x:c r="AO85" s="16" t="str">
        <x:v>chore(audit): reconcile responsive route evidence</x:v>
      </x:c>
      <x:c r="AP85" s="16" t="str">
        <x:v>1/1 fresh mapped flows passed on 2026-07-31</x:v>
      </x:c>
      <x:c r="AQ85" s="16" t="str">
        <x:v>Non-destructive responsive route evidence only; exact API request IDs database RLS audit-event and native checks remain explicit separate gaps</x:v>
      </x:c>
    </x:row>
    <x:row r="86" ht="48" customHeight="1">
      <x:c r="A86" s="18" t="str">
        <x:v>ROUTE-054</x:v>
      </x:c>
      <x:c r="B86" s="16" t="str">
        <x:v>UI-020</x:v>
      </x:c>
      <x:c r="C86" s="16" t="str">
        <x:v>Club-admin managed clubs first and invite validation</x:v>
      </x:c>
      <x:c r="D86" s="16" t="str">
        <x:v>club admin</x:v>
      </x:c>
      <x:c r="E86" s="16" t="str">
        <x:v>app/club/my-clubs.tsx</x:v>
      </x:c>
      <x:c r="F86" s="16" t="str">
        <x:v>app/club/my-clubs.tsx</x:v>
      </x:c>
      <x:c r="G86" s="16" t="str">
        <x:v>populated route and client-side invite validation</x:v>
      </x:c>
      <x:c r="H86" s="16" t="str">
        <x:v>iPhone 16 Pro responsive browser viewport</x:v>
      </x:c>
      <x:c r="I86" s="16" t="str">
        <x:v>local Expo web bundle backed by staging API</x:v>
      </x:c>
      <x:c r="J86" s="16" t="str">
        <x:v>/club/my-clubs after governed tab redirect</x:v>
      </x:c>
      <x:c r="K86" s="16" t="str">
        <x:v>Active club-admin membership with managed and followed clubs</x:v>
      </x:c>
      <x:c r="L86" s="16" t="str">
        <x:v>1</x:v>
      </x:c>
      <x:c r="M86" s="16" t="str">
        <x:v>populated clubs and non-mutating invite validation</x:v>
      </x:c>
      <x:c r="N86" s="16" t="str">
        <x:v>Open My Clubs then inspect order and exercise blank invalid and long-link input states without submitting</x:v>
      </x:c>
      <x:c r="O86" s="16" t="str">
        <x:v>Managed clubs appear first and secondary join/create controls remain accessible</x:v>
      </x:c>
      <x:c r="P86" s="16" t="str">
        <x:v>Managed and followed clubs rendered before join/create; validation and long-link states passed</x:v>
      </x:c>
      <x:c r="Q86" s="16" t="str">
        <x:v>/v1/clubs</x:v>
      </x:c>
      <x:c r="R86" s="16" t="str">
        <x:v>GET 200; no join/create mutation sent</x:v>
      </x:c>
      <x:c r="S86" s="16" t="str">
        <x:v>req_1b68f079-0a17-4344-9b59-3c8d3dafc820</x:v>
      </x:c>
      <x:c r="T86" s="16" t="str">
        <x:v>Club ClubMembership</x:v>
      </x:c>
      <x:c r="U86" s="16" t="str">
        <x:v>No database mutation</x:v>
      </x:c>
      <x:c r="V86" s="16" t="str">
        <x:v>Read stayed behind backend club authority</x:v>
      </x:c>
      <x:c r="W86" s="16" t="str">
        <x:v>No new event expected for presentation or client validation</x:v>
      </x:c>
      <x:c r="X86" s="16" t="str"/>
      <x:c r="Y86" s="16" t="str">
        <x:v>Sentry API unavailable; live flow had zero console errors</x:v>
      </x:c>
      <x:c r="Z86" s="16" t="str">
        <x:v>club admin coach parent athlete</x:v>
      </x:c>
      <x:c r="AA86" s="16" t="str">
        <x:v>Club-admin live route passed; shared controls retained</x:v>
      </x:c>
      <x:c r="AB86" s="16" t="str">
        <x:v>passed</x:v>
      </x:c>
      <x:c r="AC86" s="16" t="str">
        <x:v>passed</x:v>
      </x:c>
      <x:c r="AD86" s="16" t="str">
        <x:v>passed after fix</x:v>
      </x:c>
      <x:c r="AE86" s="16" t="str">
        <x:v>passed after fix</x:v>
      </x:c>
      <x:c r="AF86" s="16" t="str">
        <x:v>passed after fix</x:v>
      </x:c>
      <x:c r="AG86" s="16" t="str">
        <x:v>Shared React Native surface passed responsive runtime; native interaction remains blocked by host DevToolsSecurity</x:v>
      </x:c>
      <x:c r="AH86" s="16" t="str">
        <x:v>football club management and invite-code context</x:v>
      </x:c>
      <x:c r="AI86" s="16" t="str">
        <x:v>passed</x:v>
      </x:c>
      <x:c r="AJ86" s="16" t="str">
        <x:v>Input and buttons labelled; disabled Join keeps button state; icon-only Close labelled</x:v>
      </x:c>
      <x:c r="AK86" s="16" t="str">
        <x:v>passed</x:v>
      </x:c>
      <x:c r="AL86" s="16" t="str"/>
      <x:c r="AM86" s="16" t="str">
        <x:v>reviews/ios-native-audit/screenshots/058-club-admin-clubs-first-after.png | reviews/ios-native-audit/screenshots/059-club-admin-join-validation-after.png</x:v>
      </x:c>
      <x:c r="AN86" s="16" t="str"/>
      <x:c r="AO86" s="16" t="str">
        <x:v>9ead2284</x:v>
      </x:c>
      <x:c r="AP86" s="16" t="str">
        <x:v>live club-admin route and validation states passed</x:v>
      </x:c>
      <x:c r="AQ86" s="16" t="str">
        <x:v>No staging mutation executed; native semantic interaction remains separately blocked</x:v>
      </x:c>
    </x:row>
    <x:row r="87" ht="48" customHeight="1">
      <x:c r="A87" s="18" t="str">
        <x:v>ROUTE-055</x:v>
      </x:c>
      <x:c r="B87" s="16" t="str">
        <x:v>coach_club_settings</x:v>
      </x:c>
      <x:c r="C87" s="16" t="str">
        <x:v>Coach opens club settings</x:v>
      </x:c>
      <x:c r="D87" s="16" t="str">
        <x:v>coach</x:v>
      </x:c>
      <x:c r="E87" s="16" t="str">
        <x:v>app/club/settings.tsx</x:v>
      </x:c>
      <x:c r="F87" s="16" t="str">
        <x:v>app/club/settings.tsx</x:v>
      </x:c>
      <x:c r="G87" s="16" t="str">
        <x:v>responsive route load and configured non-mutating assertions</x:v>
      </x:c>
      <x:c r="H87" s="16" t="str">
        <x:v>iPhone 16 Pro responsive browser viewport</x:v>
      </x:c>
      <x:c r="I87" s="16" t="str">
        <x:v>local Expo web bundle backed by staging API</x:v>
      </x:c>
      <x:c r="J87" s="16" t="str">
        <x:v>/club/settings</x:v>
      </x:c>
      <x:c r="K87" s="16" t="str">
        <x:v>Authenticated seeded role account and linked staging dataset</x:v>
      </x:c>
      <x:c r="L87" s="16" t="str">
        <x:v>1</x:v>
      </x:c>
      <x:c r="M87" s="16" t="str">
        <x:v>coach_club_settings</x:v>
      </x:c>
      <x:c r="N87" s="16" t="str">
        <x:v>Navigate directly and execute the flow runner assertions without submitting a product mutation</x:v>
      </x:c>
      <x:c r="O87" s="16" t="str">
        <x:v>Resolve the intended route without a failed request runtime exception shared error state nested button horizontal overflow or product-text finding</x:v>
      </x:c>
      <x:c r="P87" s="16" t="str">
        <x:v>1/1 mapped flows returned status ok and severity none at 390px</x:v>
      </x:c>
      <x:c r="Q87" s="16" t="str">
        <x:v>Browser-observed role-scoped route requests</x:v>
      </x:c>
      <x:c r="R87" s="16" t="str">
        <x:v>No failed request detected; exact endpoint-by-endpoint reconciliation remains a separate audit gap</x:v>
      </x:c>
      <x:c r="S87" s="16" t="str"/>
      <x:c r="T87" s="16" t="str"/>
      <x:c r="U87" s="16" t="str">
        <x:v>No database mutation executed by this route-load regression</x:v>
      </x:c>
      <x:c r="V87" s="16" t="str">
        <x:v>Not directly exercised in this route-load regression</x:v>
      </x:c>
      <x:c r="W87" s="16" t="str">
        <x:v>Not reconciled in this route-load regression</x:v>
      </x:c>
      <x:c r="X87" s="16" t="str"/>
      <x:c r="Y87" s="16" t="str">
        <x:v>Sentry API unavailable; runner detected no runtime exception or console error classified as high or medium</x:v>
      </x:c>
      <x:c r="Z87" s="16" t="str">
        <x:v>coach</x:v>
      </x:c>
      <x:c r="AA87" s="16" t="str">
        <x:v>coach mapped route flow passed</x:v>
      </x:c>
      <x:c r="AB87" s="16" t="str">
        <x:v>automated route pass; manual visual corpus tracked separately</x:v>
      </x:c>
      <x:c r="AC87" s="16" t="str">
        <x:v>configured actions passed where present; otherwise route-load only</x:v>
      </x:c>
      <x:c r="AD87" s="16" t="str">
        <x:v>no automated high or medium finding</x:v>
      </x:c>
      <x:c r="AE87" s="16" t="str">
        <x:v>0 product-text findings</x:v>
      </x:c>
      <x:c r="AF87" s="16" t="str">
        <x:v>0 product-text findings</x:v>
      </x:c>
      <x:c r="AG87" s="16" t="str">
        <x:v>Shared React Native surface passed responsive runtime; native interaction remains blocked by host DevToolsSecurity</x:v>
      </x:c>
      <x:c r="AH87" s="16" t="str">
        <x:v>football product route</x:v>
      </x:c>
      <x:c r="AI87" s="16" t="str">
        <x:v>390px viewport with 0 horizontal overflow</x:v>
      </x:c>
      <x:c r="AJ87" s="16" t="str">
        <x:v>0 nested buttons; native semantic tree and VoiceOver remain unverified</x:v>
      </x:c>
      <x:c r="AK87" s="16" t="str">
        <x:v>passed</x:v>
      </x:c>
      <x:c r="AL87" s="16" t="str"/>
      <x:c r="AM87" s="16" t="str">
        <x:v>reviews/ios-native-audit/runtime/2026-07-31/report.merged.json</x:v>
      </x:c>
      <x:c r="AN87" s="16" t="str"/>
      <x:c r="AO87" s="16" t="str">
        <x:v>chore(audit): reconcile responsive route evidence</x:v>
      </x:c>
      <x:c r="AP87" s="16" t="str">
        <x:v>1/1 fresh mapped flows passed on 2026-07-31</x:v>
      </x:c>
      <x:c r="AQ87" s="16" t="str">
        <x:v>Non-destructive responsive route evidence only; exact API request IDs database RLS audit-event and native checks remain explicit separate gaps</x:v>
      </x:c>
    </x:row>
    <x:row r="88" ht="48" customHeight="1">
      <x:c r="A88" s="18" t="str">
        <x:v>ROUTE-056</x:v>
      </x:c>
      <x:c r="B88" s="16" t="str">
        <x:v>ROUTE-INVENTORY</x:v>
      </x:c>
      <x:c r="C88" s="16" t="str">
        <x:v>Reachable route coverage</x:v>
      </x:c>
      <x:c r="D88" s="16" t="str">
        <x:v>to classify</x:v>
      </x:c>
      <x:c r="E88" s="16" t="str">
        <x:v>app/club/setup-complete.tsx</x:v>
      </x:c>
      <x:c r="F88" s="16" t="str">
        <x:v>app/club/setup-complete.tsx</x:v>
      </x:c>
      <x:c r="G88" s="16" t="str">
        <x:v>inventory</x:v>
      </x:c>
      <x:c r="H88" s="16" t="str"/>
      <x:c r="I88" s="16" t="str">
        <x:v>staging</x:v>
      </x:c>
      <x:c r="J88" s="16" t="str"/>
      <x:c r="K88" s="16" t="str"/>
      <x:c r="L88" s="16" t="str"/>
      <x:c r="M88" s="16" t="str"/>
      <x:c r="N88" s="16" t="str"/>
      <x:c r="O88" s="16" t="str"/>
      <x:c r="P88" s="16" t="str"/>
      <x:c r="Q88" s="16" t="str"/>
      <x:c r="R88" s="16" t="str"/>
      <x:c r="S88" s="16" t="str"/>
      <x:c r="T88" s="16" t="str"/>
      <x:c r="U88" s="16" t="str"/>
      <x:c r="V88" s="16" t="str"/>
      <x:c r="W88" s="16" t="str"/>
      <x:c r="X88" s="16" t="str"/>
      <x:c r="Y88" s="16" t="str"/>
      <x:c r="Z88" s="16" t="str"/>
      <x:c r="AA88" s="16" t="str"/>
      <x:c r="AB88" s="16" t="str"/>
      <x:c r="AC88" s="16" t="str"/>
      <x:c r="AD88" s="16" t="str"/>
      <x:c r="AE88" s="16" t="str"/>
      <x:c r="AF88" s="16" t="str"/>
      <x:c r="AG88" s="16" t="str"/>
      <x:c r="AH88" s="16" t="str"/>
      <x:c r="AI88" s="16" t="str"/>
      <x:c r="AJ88" s="16" t="str"/>
      <x:c r="AK88" s="16" t="str">
        <x:v>pending</x:v>
      </x:c>
      <x:c r="AL88" s="16" t="str"/>
      <x:c r="AM88" s="16" t="str"/>
      <x:c r="AN88" s="16" t="str"/>
      <x:c r="AO88" s="16" t="str"/>
      <x:c r="AP88" s="16" t="str">
        <x:v>pending</x:v>
      </x:c>
      <x:c r="AQ88" s="16" t="str">
        <x:v>Discovered from executable Expo Router tree; runtime coverage pending</x:v>
      </x:c>
    </x:row>
    <x:row r="89" ht="48" customHeight="1">
      <x:c r="A89" s="18" t="str">
        <x:v>ROUTE-057</x:v>
      </x:c>
      <x:c r="B89" s="16" t="str">
        <x:v>coach_squad_detail | coach_add_member_to_squad</x:v>
      </x:c>
      <x:c r="C89" s="16" t="str">
        <x:v>Coach opens squad detail | Coach opens add-member panel inside squad</x:v>
      </x:c>
      <x:c r="D89" s="16" t="str">
        <x:v>coach</x:v>
      </x:c>
      <x:c r="E89" s="16" t="str">
        <x:v>app/club/squad/[id].tsx</x:v>
      </x:c>
      <x:c r="F89" s="16" t="str">
        <x:v>app/club/squad/[id].tsx</x:v>
      </x:c>
      <x:c r="G89" s="16" t="str">
        <x:v>responsive route load and configured non-mutating assertions</x:v>
      </x:c>
      <x:c r="H89" s="16" t="str">
        <x:v>iPhone 16 Pro responsive browser viewport</x:v>
      </x:c>
      <x:c r="I89" s="16" t="str">
        <x:v>local Expo web bundle backed by staging API</x:v>
      </x:c>
      <x:c r="J89" s="16" t="str">
        <x:v>/club/squad/sqd_9640510a-e7cb-7575-a2a7-649ac28b5ee2</x:v>
      </x:c>
      <x:c r="K89" s="16" t="str">
        <x:v>Authenticated seeded role account and linked staging dataset</x:v>
      </x:c>
      <x:c r="L89" s="16" t="str">
        <x:v>1</x:v>
      </x:c>
      <x:c r="M89" s="16" t="str">
        <x:v>coach_squad_detail | coach_add_member_to_squad</x:v>
      </x:c>
      <x:c r="N89" s="16" t="str">
        <x:v>Navigate directly and execute the flow runner assertions without submitting a product mutation</x:v>
      </x:c>
      <x:c r="O89" s="16" t="str">
        <x:v>Resolve the intended route without a failed request runtime exception shared error state nested button horizontal overflow or product-text finding</x:v>
      </x:c>
      <x:c r="P89" s="16" t="str">
        <x:v>2/2 mapped flows returned status ok and severity none at 390px</x:v>
      </x:c>
      <x:c r="Q89" s="16" t="str">
        <x:v>Browser-observed role-scoped route requests</x:v>
      </x:c>
      <x:c r="R89" s="16" t="str">
        <x:v>No failed request detected; exact endpoint-by-endpoint reconciliation remains a separate audit gap</x:v>
      </x:c>
      <x:c r="S89" s="16" t="str"/>
      <x:c r="T89" s="16" t="str"/>
      <x:c r="U89" s="16" t="str">
        <x:v>No database mutation executed by this route-load regression</x:v>
      </x:c>
      <x:c r="V89" s="16" t="str">
        <x:v>Not directly exercised in this route-load regression</x:v>
      </x:c>
      <x:c r="W89" s="16" t="str">
        <x:v>Not reconciled in this route-load regression</x:v>
      </x:c>
      <x:c r="X89" s="16" t="str"/>
      <x:c r="Y89" s="16" t="str">
        <x:v>Sentry API unavailable; runner detected no runtime exception or console error classified as high or medium</x:v>
      </x:c>
      <x:c r="Z89" s="16" t="str">
        <x:v>coach</x:v>
      </x:c>
      <x:c r="AA89" s="16" t="str">
        <x:v>coach mapped route flow passed</x:v>
      </x:c>
      <x:c r="AB89" s="16" t="str">
        <x:v>automated route pass; manual visual corpus tracked separately</x:v>
      </x:c>
      <x:c r="AC89" s="16" t="str">
        <x:v>configured actions passed where present; otherwise route-load only</x:v>
      </x:c>
      <x:c r="AD89" s="16" t="str">
        <x:v>no automated high or medium finding</x:v>
      </x:c>
      <x:c r="AE89" s="16" t="str">
        <x:v>0 product-text findings</x:v>
      </x:c>
      <x:c r="AF89" s="16" t="str">
        <x:v>0 product-text findings</x:v>
      </x:c>
      <x:c r="AG89" s="16" t="str">
        <x:v>Shared React Native surface passed responsive runtime; native interaction remains blocked by host DevToolsSecurity</x:v>
      </x:c>
      <x:c r="AH89" s="16" t="str">
        <x:v>football product route</x:v>
      </x:c>
      <x:c r="AI89" s="16" t="str">
        <x:v>390px viewport with 0 horizontal overflow</x:v>
      </x:c>
      <x:c r="AJ89" s="16" t="str">
        <x:v>0 nested buttons; native semantic tree and VoiceOver remain unverified</x:v>
      </x:c>
      <x:c r="AK89" s="16" t="str">
        <x:v>passed</x:v>
      </x:c>
      <x:c r="AL89" s="16" t="str"/>
      <x:c r="AM89" s="16" t="str">
        <x:v>reviews/ios-native-audit/runtime/2026-07-31/report.merged.json</x:v>
      </x:c>
      <x:c r="AN89" s="16" t="str"/>
      <x:c r="AO89" s="16" t="str">
        <x:v>chore(audit): reconcile responsive route evidence</x:v>
      </x:c>
      <x:c r="AP89" s="16" t="str">
        <x:v>2/2 fresh mapped flows passed on 2026-07-31</x:v>
      </x:c>
      <x:c r="AQ89" s="16" t="str">
        <x:v>Non-destructive responsive route evidence only; exact API request IDs database RLS audit-event and native checks remain explicit separate gaps</x:v>
      </x:c>
    </x:row>
    <x:row r="90" ht="48" customHeight="1">
      <x:c r="A90" s="18" t="str">
        <x:v>ROUTE-058</x:v>
      </x:c>
      <x:c r="B90" s="16" t="str">
        <x:v>ROUTE-INVENTORY</x:v>
      </x:c>
      <x:c r="C90" s="16" t="str">
        <x:v>Reachable route coverage</x:v>
      </x:c>
      <x:c r="D90" s="16" t="str">
        <x:v>to classify</x:v>
      </x:c>
      <x:c r="E90" s="16" t="str">
        <x:v>app/club/squad/[id]/schedule.tsx</x:v>
      </x:c>
      <x:c r="F90" s="16" t="str">
        <x:v>app/club/squad/[id]/schedule.tsx</x:v>
      </x:c>
      <x:c r="G90" s="16" t="str">
        <x:v>inventory</x:v>
      </x:c>
      <x:c r="H90" s="16" t="str"/>
      <x:c r="I90" s="16" t="str">
        <x:v>staging</x:v>
      </x:c>
      <x:c r="J90" s="16" t="str"/>
      <x:c r="K90" s="16" t="str"/>
      <x:c r="L90" s="16" t="str"/>
      <x:c r="M90" s="16" t="str"/>
      <x:c r="N90" s="16" t="str"/>
      <x:c r="O90" s="16" t="str"/>
      <x:c r="P90" s="16" t="str"/>
      <x:c r="Q90" s="16" t="str"/>
      <x:c r="R90" s="16" t="str"/>
      <x:c r="S90" s="16" t="str"/>
      <x:c r="T90" s="16" t="str"/>
      <x:c r="U90" s="16" t="str"/>
      <x:c r="V90" s="16" t="str"/>
      <x:c r="W90" s="16" t="str"/>
      <x:c r="X90" s="16" t="str"/>
      <x:c r="Y90" s="16" t="str"/>
      <x:c r="Z90" s="16" t="str"/>
      <x:c r="AA90" s="16" t="str"/>
      <x:c r="AB90" s="16" t="str"/>
      <x:c r="AC90" s="16" t="str"/>
      <x:c r="AD90" s="16" t="str"/>
      <x:c r="AE90" s="16" t="str"/>
      <x:c r="AF90" s="16" t="str"/>
      <x:c r="AG90" s="16" t="str"/>
      <x:c r="AH90" s="16" t="str"/>
      <x:c r="AI90" s="16" t="str"/>
      <x:c r="AJ90" s="16" t="str"/>
      <x:c r="AK90" s="16" t="str">
        <x:v>pending</x:v>
      </x:c>
      <x:c r="AL90" s="16" t="str"/>
      <x:c r="AM90" s="16" t="str"/>
      <x:c r="AN90" s="16" t="str"/>
      <x:c r="AO90" s="16" t="str"/>
      <x:c r="AP90" s="16" t="str">
        <x:v>pending</x:v>
      </x:c>
      <x:c r="AQ90" s="16" t="str">
        <x:v>Discovered from executable Expo Router tree; runtime coverage pending</x:v>
      </x:c>
    </x:row>
    <x:row r="91" ht="48" customHeight="1">
      <x:c r="A91" s="18" t="str">
        <x:v>ROUTE-059</x:v>
      </x:c>
      <x:c r="B91" s="16" t="str">
        <x:v>coach_squad_create</x:v>
      </x:c>
      <x:c r="C91" s="16" t="str">
        <x:v>Coach opens create squad</x:v>
      </x:c>
      <x:c r="D91" s="16" t="str">
        <x:v>coach</x:v>
      </x:c>
      <x:c r="E91" s="16" t="str">
        <x:v>app/club/squad/create.tsx</x:v>
      </x:c>
      <x:c r="F91" s="16" t="str">
        <x:v>app/club/squad/create.tsx</x:v>
      </x:c>
      <x:c r="G91" s="16" t="str">
        <x:v>responsive route load and configured non-mutating assertions</x:v>
      </x:c>
      <x:c r="H91" s="16" t="str">
        <x:v>iPhone 16 Pro responsive browser viewport</x:v>
      </x:c>
      <x:c r="I91" s="16" t="str">
        <x:v>local Expo web bundle backed by staging API</x:v>
      </x:c>
      <x:c r="J91" s="16" t="str">
        <x:v>/club/squad/create</x:v>
      </x:c>
      <x:c r="K91" s="16" t="str">
        <x:v>Authenticated seeded role account and linked staging dataset</x:v>
      </x:c>
      <x:c r="L91" s="16" t="str">
        <x:v>1</x:v>
      </x:c>
      <x:c r="M91" s="16" t="str">
        <x:v>coach_squad_create</x:v>
      </x:c>
      <x:c r="N91" s="16" t="str">
        <x:v>Navigate directly and execute the flow runner assertions without submitting a product mutation</x:v>
      </x:c>
      <x:c r="O91" s="16" t="str">
        <x:v>Resolve the intended route without a failed request runtime exception shared error state nested button horizontal overflow or product-text finding</x:v>
      </x:c>
      <x:c r="P91" s="16" t="str">
        <x:v>1/1 mapped flows returned status ok and severity none at 390px</x:v>
      </x:c>
      <x:c r="Q91" s="16" t="str">
        <x:v>Browser-observed role-scoped route requests</x:v>
      </x:c>
      <x:c r="R91" s="16" t="str">
        <x:v>No failed request detected; exact endpoint-by-endpoint reconciliation remains a separate audit gap</x:v>
      </x:c>
      <x:c r="S91" s="16" t="str"/>
      <x:c r="T91" s="16" t="str"/>
      <x:c r="U91" s="16" t="str">
        <x:v>No database mutation executed by this route-load regression</x:v>
      </x:c>
      <x:c r="V91" s="16" t="str">
        <x:v>Not directly exercised in this route-load regression</x:v>
      </x:c>
      <x:c r="W91" s="16" t="str">
        <x:v>Not reconciled in this route-load regression</x:v>
      </x:c>
      <x:c r="X91" s="16" t="str"/>
      <x:c r="Y91" s="16" t="str">
        <x:v>Sentry API unavailable; runner detected no runtime exception or console error classified as high or medium</x:v>
      </x:c>
      <x:c r="Z91" s="16" t="str">
        <x:v>coach</x:v>
      </x:c>
      <x:c r="AA91" s="16" t="str">
        <x:v>coach mapped route flow passed</x:v>
      </x:c>
      <x:c r="AB91" s="16" t="str">
        <x:v>automated route pass; manual visual corpus tracked separately</x:v>
      </x:c>
      <x:c r="AC91" s="16" t="str">
        <x:v>configured actions passed where present; otherwise route-load only</x:v>
      </x:c>
      <x:c r="AD91" s="16" t="str">
        <x:v>no automated high or medium finding</x:v>
      </x:c>
      <x:c r="AE91" s="16" t="str">
        <x:v>0 product-text findings</x:v>
      </x:c>
      <x:c r="AF91" s="16" t="str">
        <x:v>0 product-text findings</x:v>
      </x:c>
      <x:c r="AG91" s="16" t="str">
        <x:v>Shared React Native surface passed responsive runtime; native interaction remains blocked by host DevToolsSecurity</x:v>
      </x:c>
      <x:c r="AH91" s="16" t="str">
        <x:v>football product route</x:v>
      </x:c>
      <x:c r="AI91" s="16" t="str">
        <x:v>390px viewport with 0 horizontal overflow</x:v>
      </x:c>
      <x:c r="AJ91" s="16" t="str">
        <x:v>0 nested buttons; native semantic tree and VoiceOver remain unverified</x:v>
      </x:c>
      <x:c r="AK91" s="16" t="str">
        <x:v>passed</x:v>
      </x:c>
      <x:c r="AL91" s="16" t="str"/>
      <x:c r="AM91" s="16" t="str">
        <x:v>reviews/ios-native-audit/runtime/2026-07-31/report.merged.json</x:v>
      </x:c>
      <x:c r="AN91" s="16" t="str"/>
      <x:c r="AO91" s="16" t="str">
        <x:v>chore(audit): reconcile responsive route evidence</x:v>
      </x:c>
      <x:c r="AP91" s="16" t="str">
        <x:v>1/1 fresh mapped flows passed on 2026-07-31</x:v>
      </x:c>
      <x:c r="AQ91" s="16" t="str">
        <x:v>Non-destructive responsive route evidence only; exact API request IDs database RLS audit-event and native checks remain explicit separate gaps</x:v>
      </x:c>
    </x:row>
    <x:row r="92" ht="48" customHeight="1">
      <x:c r="A92" s="18" t="str">
        <x:v>ROUTE-060</x:v>
      </x:c>
      <x:c r="B92" s="16" t="str">
        <x:v>ROUTE-INVENTORY</x:v>
      </x:c>
      <x:c r="C92" s="16" t="str">
        <x:v>Reachable route coverage</x:v>
      </x:c>
      <x:c r="D92" s="16" t="str">
        <x:v>to classify</x:v>
      </x:c>
      <x:c r="E92" s="16" t="str">
        <x:v>app/club/training-schedule.tsx</x:v>
      </x:c>
      <x:c r="F92" s="16" t="str">
        <x:v>app/club/training-schedule.tsx</x:v>
      </x:c>
      <x:c r="G92" s="16" t="str">
        <x:v>inventory</x:v>
      </x:c>
      <x:c r="H92" s="16" t="str"/>
      <x:c r="I92" s="16" t="str">
        <x:v>staging</x:v>
      </x:c>
      <x:c r="J92" s="16" t="str"/>
      <x:c r="K92" s="16" t="str"/>
      <x:c r="L92" s="16" t="str"/>
      <x:c r="M92" s="16" t="str"/>
      <x:c r="N92" s="16" t="str"/>
      <x:c r="O92" s="16" t="str"/>
      <x:c r="P92" s="16" t="str"/>
      <x:c r="Q92" s="16" t="str"/>
      <x:c r="R92" s="16" t="str"/>
      <x:c r="S92" s="16" t="str"/>
      <x:c r="T92" s="16" t="str"/>
      <x:c r="U92" s="16" t="str"/>
      <x:c r="V92" s="16" t="str"/>
      <x:c r="W92" s="16" t="str"/>
      <x:c r="X92" s="16" t="str"/>
      <x:c r="Y92" s="16" t="str"/>
      <x:c r="Z92" s="16" t="str"/>
      <x:c r="AA92" s="16" t="str"/>
      <x:c r="AB92" s="16" t="str"/>
      <x:c r="AC92" s="16" t="str"/>
      <x:c r="AD92" s="16" t="str"/>
      <x:c r="AE92" s="16" t="str"/>
      <x:c r="AF92" s="16" t="str"/>
      <x:c r="AG92" s="16" t="str"/>
      <x:c r="AH92" s="16" t="str"/>
      <x:c r="AI92" s="16" t="str"/>
      <x:c r="AJ92" s="16" t="str"/>
      <x:c r="AK92" s="16" t="str">
        <x:v>pending</x:v>
      </x:c>
      <x:c r="AL92" s="16" t="str"/>
      <x:c r="AM92" s="16" t="str"/>
      <x:c r="AN92" s="16" t="str"/>
      <x:c r="AO92" s="16" t="str"/>
      <x:c r="AP92" s="16" t="str">
        <x:v>pending</x:v>
      </x:c>
      <x:c r="AQ92" s="16" t="str">
        <x:v>Discovered from executable Expo Router tree; runtime coverage pending</x:v>
      </x:c>
    </x:row>
    <x:row r="93" ht="48" customHeight="1">
      <x:c r="A93" s="18" t="str">
        <x:v>ROUTE-061</x:v>
      </x:c>
      <x:c r="B93" s="16" t="str">
        <x:v>ROUTE-INVENTORY</x:v>
      </x:c>
      <x:c r="C93" s="16" t="str">
        <x:v>Reachable route coverage</x:v>
      </x:c>
      <x:c r="D93" s="16" t="str">
        <x:v>to classify</x:v>
      </x:c>
      <x:c r="E93" s="16" t="str">
        <x:v>app/coach-invites.tsx</x:v>
      </x:c>
      <x:c r="F93" s="16" t="str">
        <x:v>app/coach-invites.tsx</x:v>
      </x:c>
      <x:c r="G93" s="16" t="str">
        <x:v>inventory</x:v>
      </x:c>
      <x:c r="H93" s="16" t="str"/>
      <x:c r="I93" s="16" t="str">
        <x:v>staging</x:v>
      </x:c>
      <x:c r="J93" s="16" t="str"/>
      <x:c r="K93" s="16" t="str"/>
      <x:c r="L93" s="16" t="str"/>
      <x:c r="M93" s="16" t="str"/>
      <x:c r="N93" s="16" t="str"/>
      <x:c r="O93" s="16" t="str"/>
      <x:c r="P93" s="16" t="str"/>
      <x:c r="Q93" s="16" t="str"/>
      <x:c r="R93" s="16" t="str"/>
      <x:c r="S93" s="16" t="str"/>
      <x:c r="T93" s="16" t="str"/>
      <x:c r="U93" s="16" t="str"/>
      <x:c r="V93" s="16" t="str"/>
      <x:c r="W93" s="16" t="str"/>
      <x:c r="X93" s="16" t="str"/>
      <x:c r="Y93" s="16" t="str"/>
      <x:c r="Z93" s="16" t="str"/>
      <x:c r="AA93" s="16" t="str"/>
      <x:c r="AB93" s="16" t="str"/>
      <x:c r="AC93" s="16" t="str"/>
      <x:c r="AD93" s="16" t="str"/>
      <x:c r="AE93" s="16" t="str"/>
      <x:c r="AF93" s="16" t="str"/>
      <x:c r="AG93" s="16" t="str"/>
      <x:c r="AH93" s="16" t="str"/>
      <x:c r="AI93" s="16" t="str"/>
      <x:c r="AJ93" s="16" t="str"/>
      <x:c r="AK93" s="16" t="str">
        <x:v>pending</x:v>
      </x:c>
      <x:c r="AL93" s="16" t="str"/>
      <x:c r="AM93" s="16" t="str"/>
      <x:c r="AN93" s="16" t="str"/>
      <x:c r="AO93" s="16" t="str"/>
      <x:c r="AP93" s="16" t="str">
        <x:v>pending</x:v>
      </x:c>
      <x:c r="AQ93" s="16" t="str">
        <x:v>Discovered from executable Expo Router tree; runtime coverage pending</x:v>
      </x:c>
    </x:row>
    <x:row r="94" ht="48" customHeight="1">
      <x:c r="A94" s="18" t="str">
        <x:v>ROUTE-062</x:v>
      </x:c>
      <x:c r="B94" s="16" t="str">
        <x:v>ROUTE-INVENTORY</x:v>
      </x:c>
      <x:c r="C94" s="16" t="str">
        <x:v>Reachable route coverage</x:v>
      </x:c>
      <x:c r="D94" s="16" t="str">
        <x:v>to classify</x:v>
      </x:c>
      <x:c r="E94" s="16" t="str">
        <x:v>app/coach/[coachId]/public.tsx</x:v>
      </x:c>
      <x:c r="F94" s="16" t="str">
        <x:v>app/coach/[coachId]/public.tsx</x:v>
      </x:c>
      <x:c r="G94" s="16" t="str">
        <x:v>inventory</x:v>
      </x:c>
      <x:c r="H94" s="16" t="str"/>
      <x:c r="I94" s="16" t="str">
        <x:v>staging</x:v>
      </x:c>
      <x:c r="J94" s="16" t="str"/>
      <x:c r="K94" s="16" t="str"/>
      <x:c r="L94" s="16" t="str"/>
      <x:c r="M94" s="16" t="str"/>
      <x:c r="N94" s="16" t="str"/>
      <x:c r="O94" s="16" t="str"/>
      <x:c r="P94" s="16" t="str"/>
      <x:c r="Q94" s="16" t="str"/>
      <x:c r="R94" s="16" t="str"/>
      <x:c r="S94" s="16" t="str"/>
      <x:c r="T94" s="16" t="str"/>
      <x:c r="U94" s="16" t="str"/>
      <x:c r="V94" s="16" t="str"/>
      <x:c r="W94" s="16" t="str"/>
      <x:c r="X94" s="16" t="str"/>
      <x:c r="Y94" s="16" t="str"/>
      <x:c r="Z94" s="16" t="str"/>
      <x:c r="AA94" s="16" t="str"/>
      <x:c r="AB94" s="16" t="str"/>
      <x:c r="AC94" s="16" t="str"/>
      <x:c r="AD94" s="16" t="str"/>
      <x:c r="AE94" s="16" t="str"/>
      <x:c r="AF94" s="16" t="str"/>
      <x:c r="AG94" s="16" t="str"/>
      <x:c r="AH94" s="16" t="str"/>
      <x:c r="AI94" s="16" t="str"/>
      <x:c r="AJ94" s="16" t="str"/>
      <x:c r="AK94" s="16" t="str">
        <x:v>pending</x:v>
      </x:c>
      <x:c r="AL94" s="16" t="str"/>
      <x:c r="AM94" s="16" t="str"/>
      <x:c r="AN94" s="16" t="str"/>
      <x:c r="AO94" s="16" t="str"/>
      <x:c r="AP94" s="16" t="str">
        <x:v>pending</x:v>
      </x:c>
      <x:c r="AQ94" s="16" t="str">
        <x:v>Discovered from executable Expo Router tree; runtime coverage pending</x:v>
      </x:c>
    </x:row>
    <x:row r="95" ht="48" customHeight="1">
      <x:c r="A95" s="18" t="str">
        <x:v>ROUTE-063</x:v>
      </x:c>
      <x:c r="B95" s="16" t="str">
        <x:v>ROUTE-INVENTORY</x:v>
      </x:c>
      <x:c r="C95" s="16" t="str">
        <x:v>Reachable route coverage</x:v>
      </x:c>
      <x:c r="D95" s="16" t="str">
        <x:v>to classify</x:v>
      </x:c>
      <x:c r="E95" s="16" t="str">
        <x:v>app/coach/[id].tsx</x:v>
      </x:c>
      <x:c r="F95" s="16" t="str">
        <x:v>app/coach/[id].tsx</x:v>
      </x:c>
      <x:c r="G95" s="16" t="str">
        <x:v>inventory</x:v>
      </x:c>
      <x:c r="H95" s="16" t="str"/>
      <x:c r="I95" s="16" t="str">
        <x:v>staging</x:v>
      </x:c>
      <x:c r="J95" s="16" t="str"/>
      <x:c r="K95" s="16" t="str"/>
      <x:c r="L95" s="16" t="str"/>
      <x:c r="M95" s="16" t="str"/>
      <x:c r="N95" s="16" t="str"/>
      <x:c r="O95" s="16" t="str"/>
      <x:c r="P95" s="16" t="str"/>
      <x:c r="Q95" s="16" t="str"/>
      <x:c r="R95" s="16" t="str"/>
      <x:c r="S95" s="16" t="str"/>
      <x:c r="T95" s="16" t="str"/>
      <x:c r="U95" s="16" t="str"/>
      <x:c r="V95" s="16" t="str"/>
      <x:c r="W95" s="16" t="str"/>
      <x:c r="X95" s="16" t="str"/>
      <x:c r="Y95" s="16" t="str"/>
      <x:c r="Z95" s="16" t="str"/>
      <x:c r="AA95" s="16" t="str"/>
      <x:c r="AB95" s="16" t="str"/>
      <x:c r="AC95" s="16" t="str"/>
      <x:c r="AD95" s="16" t="str"/>
      <x:c r="AE95" s="16" t="str"/>
      <x:c r="AF95" s="16" t="str"/>
      <x:c r="AG95" s="16" t="str"/>
      <x:c r="AH95" s="16" t="str"/>
      <x:c r="AI95" s="16" t="str"/>
      <x:c r="AJ95" s="16" t="str"/>
      <x:c r="AK95" s="16" t="str">
        <x:v>pending</x:v>
      </x:c>
      <x:c r="AL95" s="16" t="str"/>
      <x:c r="AM95" s="16" t="str"/>
      <x:c r="AN95" s="16" t="str"/>
      <x:c r="AO95" s="16" t="str"/>
      <x:c r="AP95" s="16" t="str">
        <x:v>pending</x:v>
      </x:c>
      <x:c r="AQ95" s="16" t="str">
        <x:v>Discovered from executable Expo Router tree; runtime coverage pending</x:v>
      </x:c>
    </x:row>
    <x:row r="96" ht="48" customHeight="1">
      <x:c r="A96" s="18" t="str">
        <x:v>ROUTE-064</x:v>
      </x:c>
      <x:c r="B96" s="16" t="str">
        <x:v>ROUTE-INVENTORY</x:v>
      </x:c>
      <x:c r="C96" s="16" t="str">
        <x:v>Reachable route coverage</x:v>
      </x:c>
      <x:c r="D96" s="16" t="str">
        <x:v>to classify</x:v>
      </x:c>
      <x:c r="E96" s="16" t="str">
        <x:v>app/coach/invite.tsx</x:v>
      </x:c>
      <x:c r="F96" s="16" t="str">
        <x:v>app/coach/invite.tsx</x:v>
      </x:c>
      <x:c r="G96" s="16" t="str">
        <x:v>inventory</x:v>
      </x:c>
      <x:c r="H96" s="16" t="str"/>
      <x:c r="I96" s="16" t="str">
        <x:v>staging</x:v>
      </x:c>
      <x:c r="J96" s="16" t="str"/>
      <x:c r="K96" s="16" t="str"/>
      <x:c r="L96" s="16" t="str"/>
      <x:c r="M96" s="16" t="str"/>
      <x:c r="N96" s="16" t="str"/>
      <x:c r="O96" s="16" t="str"/>
      <x:c r="P96" s="16" t="str"/>
      <x:c r="Q96" s="16" t="str"/>
      <x:c r="R96" s="16" t="str"/>
      <x:c r="S96" s="16" t="str"/>
      <x:c r="T96" s="16" t="str"/>
      <x:c r="U96" s="16" t="str"/>
      <x:c r="V96" s="16" t="str"/>
      <x:c r="W96" s="16" t="str"/>
      <x:c r="X96" s="16" t="str"/>
      <x:c r="Y96" s="16" t="str"/>
      <x:c r="Z96" s="16" t="str"/>
      <x:c r="AA96" s="16" t="str"/>
      <x:c r="AB96" s="16" t="str"/>
      <x:c r="AC96" s="16" t="str"/>
      <x:c r="AD96" s="16" t="str"/>
      <x:c r="AE96" s="16" t="str"/>
      <x:c r="AF96" s="16" t="str"/>
      <x:c r="AG96" s="16" t="str"/>
      <x:c r="AH96" s="16" t="str"/>
      <x:c r="AI96" s="16" t="str"/>
      <x:c r="AJ96" s="16" t="str"/>
      <x:c r="AK96" s="16" t="str">
        <x:v>pending</x:v>
      </x:c>
      <x:c r="AL96" s="16" t="str"/>
      <x:c r="AM96" s="16" t="str"/>
      <x:c r="AN96" s="16" t="str"/>
      <x:c r="AO96" s="16" t="str"/>
      <x:c r="AP96" s="16" t="str">
        <x:v>pending</x:v>
      </x:c>
      <x:c r="AQ96" s="16" t="str">
        <x:v>Discovered from executable Expo Router tree; runtime coverage pending</x:v>
      </x:c>
    </x:row>
    <x:row r="97" ht="48" customHeight="1">
      <x:c r="A97" s="18" t="str">
        <x:v>ROUTE-065</x:v>
      </x:c>
      <x:c r="B97" s="16" t="str">
        <x:v>ROUTE-INVENTORY</x:v>
      </x:c>
      <x:c r="C97" s="16" t="str">
        <x:v>Reachable route coverage</x:v>
      </x:c>
      <x:c r="D97" s="16" t="str">
        <x:v>to classify</x:v>
      </x:c>
      <x:c r="E97" s="16" t="str">
        <x:v>app/community/[groupId].tsx</x:v>
      </x:c>
      <x:c r="F97" s="16" t="str">
        <x:v>app/community/[groupId].tsx</x:v>
      </x:c>
      <x:c r="G97" s="16" t="str">
        <x:v>inventory</x:v>
      </x:c>
      <x:c r="H97" s="16" t="str"/>
      <x:c r="I97" s="16" t="str">
        <x:v>staging</x:v>
      </x:c>
      <x:c r="J97" s="16" t="str"/>
      <x:c r="K97" s="16" t="str"/>
      <x:c r="L97" s="16" t="str"/>
      <x:c r="M97" s="16" t="str"/>
      <x:c r="N97" s="16" t="str"/>
      <x:c r="O97" s="16" t="str"/>
      <x:c r="P97" s="16" t="str"/>
      <x:c r="Q97" s="16" t="str"/>
      <x:c r="R97" s="16" t="str"/>
      <x:c r="S97" s="16" t="str"/>
      <x:c r="T97" s="16" t="str"/>
      <x:c r="U97" s="16" t="str"/>
      <x:c r="V97" s="16" t="str"/>
      <x:c r="W97" s="16" t="str"/>
      <x:c r="X97" s="16" t="str"/>
      <x:c r="Y97" s="16" t="str"/>
      <x:c r="Z97" s="16" t="str"/>
      <x:c r="AA97" s="16" t="str"/>
      <x:c r="AB97" s="16" t="str"/>
      <x:c r="AC97" s="16" t="str"/>
      <x:c r="AD97" s="16" t="str"/>
      <x:c r="AE97" s="16" t="str"/>
      <x:c r="AF97" s="16" t="str"/>
      <x:c r="AG97" s="16" t="str"/>
      <x:c r="AH97" s="16" t="str"/>
      <x:c r="AI97" s="16" t="str"/>
      <x:c r="AJ97" s="16" t="str"/>
      <x:c r="AK97" s="16" t="str">
        <x:v>pending</x:v>
      </x:c>
      <x:c r="AL97" s="16" t="str"/>
      <x:c r="AM97" s="16" t="str"/>
      <x:c r="AN97" s="16" t="str"/>
      <x:c r="AO97" s="16" t="str"/>
      <x:c r="AP97" s="16" t="str">
        <x:v>pending</x:v>
      </x:c>
      <x:c r="AQ97" s="16" t="str">
        <x:v>Discovered from executable Expo Router tree; runtime coverage pending</x:v>
      </x:c>
    </x:row>
    <x:row r="98" ht="48" customHeight="1">
      <x:c r="A98" s="18" t="str">
        <x:v>ROUTE-066</x:v>
      </x:c>
      <x:c r="B98" s="16" t="str">
        <x:v>athlete_development_detail</x:v>
      </x:c>
      <x:c r="C98" s="16" t="str">
        <x:v>Athlete opens development detail</x:v>
      </x:c>
      <x:c r="D98" s="16" t="str">
        <x:v>athlete</x:v>
      </x:c>
      <x:c r="E98" s="16" t="str">
        <x:v>app/development/athlete/[athleteId]/index.tsx</x:v>
      </x:c>
      <x:c r="F98" s="16" t="str">
        <x:v>app/development/athlete/[athleteId]/index.tsx</x:v>
      </x:c>
      <x:c r="G98" s="16" t="str">
        <x:v>responsive route load and configured non-mutating assertions</x:v>
      </x:c>
      <x:c r="H98" s="16" t="str">
        <x:v>iPhone 16 Pro responsive browser viewport</x:v>
      </x:c>
      <x:c r="I98" s="16" t="str">
        <x:v>local Expo web bundle backed by staging API</x:v>
      </x:c>
      <x:c r="J98" s="16" t="str">
        <x:v>/development/athlete/ath_7df7ec13-e136-7525-985f-dec069fc983f</x:v>
      </x:c>
      <x:c r="K98" s="16" t="str">
        <x:v>Authenticated seeded role account and linked staging dataset</x:v>
      </x:c>
      <x:c r="L98" s="16" t="str">
        <x:v>1</x:v>
      </x:c>
      <x:c r="M98" s="16" t="str">
        <x:v>athlete_development_detail</x:v>
      </x:c>
      <x:c r="N98" s="16" t="str">
        <x:v>Navigate directly and execute the flow runner assertions without submitting a product mutation</x:v>
      </x:c>
      <x:c r="O98" s="16" t="str">
        <x:v>Resolve the intended route without a failed request runtime exception shared error state nested button horizontal overflow or product-text finding</x:v>
      </x:c>
      <x:c r="P98" s="16" t="str">
        <x:v>1/1 mapped flows returned status ok and severity none at 390px</x:v>
      </x:c>
      <x:c r="Q98" s="16" t="str">
        <x:v>Browser-observed role-scoped route requests</x:v>
      </x:c>
      <x:c r="R98" s="16" t="str">
        <x:v>No failed request detected; exact endpoint-by-endpoint reconciliation remains a separate audit gap</x:v>
      </x:c>
      <x:c r="S98" s="16" t="str"/>
      <x:c r="T98" s="16" t="str"/>
      <x:c r="U98" s="16" t="str">
        <x:v>No database mutation executed by this route-load regression</x:v>
      </x:c>
      <x:c r="V98" s="16" t="str">
        <x:v>Not directly exercised in this route-load regression</x:v>
      </x:c>
      <x:c r="W98" s="16" t="str">
        <x:v>Not reconciled in this route-load regression</x:v>
      </x:c>
      <x:c r="X98" s="16" t="str"/>
      <x:c r="Y98" s="16" t="str">
        <x:v>Sentry API unavailable; runner detected no runtime exception or console error classified as high or medium</x:v>
      </x:c>
      <x:c r="Z98" s="16" t="str">
        <x:v>athlete</x:v>
      </x:c>
      <x:c r="AA98" s="16" t="str">
        <x:v>athlete mapped route flow passed</x:v>
      </x:c>
      <x:c r="AB98" s="16" t="str">
        <x:v>automated route pass; manual visual corpus tracked separately</x:v>
      </x:c>
      <x:c r="AC98" s="16" t="str">
        <x:v>configured actions passed where present; otherwise route-load only</x:v>
      </x:c>
      <x:c r="AD98" s="16" t="str">
        <x:v>no automated high or medium finding</x:v>
      </x:c>
      <x:c r="AE98" s="16" t="str">
        <x:v>0 product-text findings</x:v>
      </x:c>
      <x:c r="AF98" s="16" t="str">
        <x:v>0 product-text findings</x:v>
      </x:c>
      <x:c r="AG98" s="16" t="str">
        <x:v>Shared React Native surface passed responsive runtime; native interaction remains blocked by host DevToolsSecurity</x:v>
      </x:c>
      <x:c r="AH98" s="16" t="str">
        <x:v>football product route</x:v>
      </x:c>
      <x:c r="AI98" s="16" t="str">
        <x:v>390px viewport with 0 horizontal overflow</x:v>
      </x:c>
      <x:c r="AJ98" s="16" t="str">
        <x:v>0 nested buttons; native semantic tree and VoiceOver remain unverified</x:v>
      </x:c>
      <x:c r="AK98" s="16" t="str">
        <x:v>passed</x:v>
      </x:c>
      <x:c r="AL98" s="16" t="str"/>
      <x:c r="AM98" s="16" t="str">
        <x:v>reviews/ios-native-audit/runtime/2026-07-31/report.merged.json</x:v>
      </x:c>
      <x:c r="AN98" s="16" t="str"/>
      <x:c r="AO98" s="16" t="str">
        <x:v>chore(audit): reconcile responsive route evidence</x:v>
      </x:c>
      <x:c r="AP98" s="16" t="str">
        <x:v>1/1 fresh mapped flows passed on 2026-07-31</x:v>
      </x:c>
      <x:c r="AQ98" s="16" t="str">
        <x:v>Non-destructive responsive route evidence only; exact API request IDs database RLS audit-event and native checks remain explicit separate gaps</x:v>
      </x:c>
    </x:row>
    <x:row r="99" ht="48" customHeight="1">
      <x:c r="A99" s="18" t="str">
        <x:v>ROUTE-067</x:v>
      </x:c>
      <x:c r="B99" s="16" t="str">
        <x:v>ROUTE-INVENTORY</x:v>
      </x:c>
      <x:c r="C99" s="16" t="str">
        <x:v>Reachable route coverage</x:v>
      </x:c>
      <x:c r="D99" s="16" t="str">
        <x:v>to classify</x:v>
      </x:c>
      <x:c r="E99" s="16" t="str">
        <x:v>app/development/athlete/[athleteId]/special-needs.tsx</x:v>
      </x:c>
      <x:c r="F99" s="16" t="str">
        <x:v>app/development/athlete/[athleteId]/special-needs.tsx</x:v>
      </x:c>
      <x:c r="G99" s="16" t="str">
        <x:v>inventory</x:v>
      </x:c>
      <x:c r="H99" s="16" t="str"/>
      <x:c r="I99" s="16" t="str">
        <x:v>staging</x:v>
      </x:c>
      <x:c r="J99" s="16" t="str"/>
      <x:c r="K99" s="16" t="str"/>
      <x:c r="L99" s="16" t="str"/>
      <x:c r="M99" s="16" t="str"/>
      <x:c r="N99" s="16" t="str"/>
      <x:c r="O99" s="16" t="str"/>
      <x:c r="P99" s="16" t="str"/>
      <x:c r="Q99" s="16" t="str"/>
      <x:c r="R99" s="16" t="str"/>
      <x:c r="S99" s="16" t="str"/>
      <x:c r="T99" s="16" t="str"/>
      <x:c r="U99" s="16" t="str"/>
      <x:c r="V99" s="16" t="str"/>
      <x:c r="W99" s="16" t="str"/>
      <x:c r="X99" s="16" t="str"/>
      <x:c r="Y99" s="16" t="str"/>
      <x:c r="Z99" s="16" t="str"/>
      <x:c r="AA99" s="16" t="str"/>
      <x:c r="AB99" s="16" t="str"/>
      <x:c r="AC99" s="16" t="str"/>
      <x:c r="AD99" s="16" t="str"/>
      <x:c r="AE99" s="16" t="str"/>
      <x:c r="AF99" s="16" t="str"/>
      <x:c r="AG99" s="16" t="str"/>
      <x:c r="AH99" s="16" t="str"/>
      <x:c r="AI99" s="16" t="str"/>
      <x:c r="AJ99" s="16" t="str"/>
      <x:c r="AK99" s="16" t="str">
        <x:v>pending</x:v>
      </x:c>
      <x:c r="AL99" s="16" t="str"/>
      <x:c r="AM99" s="16" t="str"/>
      <x:c r="AN99" s="16" t="str"/>
      <x:c r="AO99" s="16" t="str"/>
      <x:c r="AP99" s="16" t="str">
        <x:v>pending</x:v>
      </x:c>
      <x:c r="AQ99" s="16" t="str">
        <x:v>Discovered from executable Expo Router tree; runtime coverage pending</x:v>
      </x:c>
    </x:row>
    <x:row r="100" ht="48" customHeight="1">
      <x:c r="A100" s="18" t="str">
        <x:v>ROUTE-068</x:v>
      </x:c>
      <x:c r="B100" s="16" t="str">
        <x:v>parent_child_progress</x:v>
      </x:c>
      <x:c r="C100" s="16" t="str">
        <x:v>Parent opens child progress</x:v>
      </x:c>
      <x:c r="D100" s="16" t="str">
        <x:v>parent</x:v>
      </x:c>
      <x:c r="E100" s="16" t="str">
        <x:v>app/development/child-progress/[childId].tsx</x:v>
      </x:c>
      <x:c r="F100" s="16" t="str">
        <x:v>app/development/child-progress/[childId].tsx</x:v>
      </x:c>
      <x:c r="G100" s="16" t="str">
        <x:v>responsive route load and configured non-mutating assertions</x:v>
      </x:c>
      <x:c r="H100" s="16" t="str">
        <x:v>iPhone 16 Pro responsive browser viewport</x:v>
      </x:c>
      <x:c r="I100" s="16" t="str">
        <x:v>local Expo web bundle backed by staging API</x:v>
      </x:c>
      <x:c r="J100" s="16" t="str">
        <x:v>/development/child-progress/ath_7df7ec13-e136-7525-985f-dec069fc983f</x:v>
      </x:c>
      <x:c r="K100" s="16" t="str">
        <x:v>Authenticated seeded role account and linked staging dataset</x:v>
      </x:c>
      <x:c r="L100" s="16" t="str">
        <x:v>1</x:v>
      </x:c>
      <x:c r="M100" s="16" t="str">
        <x:v>parent_child_progress</x:v>
      </x:c>
      <x:c r="N100" s="16" t="str">
        <x:v>Navigate directly and execute the flow runner assertions without submitting a product mutation</x:v>
      </x:c>
      <x:c r="O100" s="16" t="str">
        <x:v>Resolve the intended route without a failed request runtime exception shared error state nested button horizontal overflow or product-text finding</x:v>
      </x:c>
      <x:c r="P100" s="16" t="str">
        <x:v>1/1 mapped flows returned status ok and severity none at 390px</x:v>
      </x:c>
      <x:c r="Q100" s="16" t="str">
        <x:v>Browser-observed role-scoped route requests</x:v>
      </x:c>
      <x:c r="R100" s="16" t="str">
        <x:v>No failed request detected; exact endpoint-by-endpoint reconciliation remains a separate audit gap</x:v>
      </x:c>
      <x:c r="S100" s="16" t="str"/>
      <x:c r="T100" s="16" t="str"/>
      <x:c r="U100" s="16" t="str">
        <x:v>No database mutation executed by this route-load regression</x:v>
      </x:c>
      <x:c r="V100" s="16" t="str">
        <x:v>Not directly exercised in this route-load regression</x:v>
      </x:c>
      <x:c r="W100" s="16" t="str">
        <x:v>Not reconciled in this route-load regression</x:v>
      </x:c>
      <x:c r="X100" s="16" t="str"/>
      <x:c r="Y100" s="16" t="str">
        <x:v>Sentry API unavailable; runner detected no runtime exception or console error classified as high or medium</x:v>
      </x:c>
      <x:c r="Z100" s="16" t="str">
        <x:v>parent</x:v>
      </x:c>
      <x:c r="AA100" s="16" t="str">
        <x:v>parent mapped route flow passed</x:v>
      </x:c>
      <x:c r="AB100" s="16" t="str">
        <x:v>automated route pass; manual visual corpus tracked separately</x:v>
      </x:c>
      <x:c r="AC100" s="16" t="str">
        <x:v>configured actions passed where present; otherwise route-load only</x:v>
      </x:c>
      <x:c r="AD100" s="16" t="str">
        <x:v>no automated high or medium finding</x:v>
      </x:c>
      <x:c r="AE100" s="16" t="str">
        <x:v>0 product-text findings</x:v>
      </x:c>
      <x:c r="AF100" s="16" t="str">
        <x:v>0 product-text findings</x:v>
      </x:c>
      <x:c r="AG100" s="16" t="str">
        <x:v>Shared React Native surface passed responsive runtime; native interaction remains blocked by host DevToolsSecurity</x:v>
      </x:c>
      <x:c r="AH100" s="16" t="str">
        <x:v>football product route</x:v>
      </x:c>
      <x:c r="AI100" s="16" t="str">
        <x:v>390px viewport with 0 horizontal overflow</x:v>
      </x:c>
      <x:c r="AJ100" s="16" t="str">
        <x:v>0 nested buttons; native semantic tree and VoiceOver remain unverified</x:v>
      </x:c>
      <x:c r="AK100" s="16" t="str">
        <x:v>passed</x:v>
      </x:c>
      <x:c r="AL100" s="16" t="str"/>
      <x:c r="AM100" s="16" t="str">
        <x:v>reviews/ios-native-audit/runtime/2026-07-31/report.merged.json</x:v>
      </x:c>
      <x:c r="AN100" s="16" t="str"/>
      <x:c r="AO100" s="16" t="str">
        <x:v>chore(audit): reconcile responsive route evidence</x:v>
      </x:c>
      <x:c r="AP100" s="16" t="str">
        <x:v>1/1 fresh mapped flows passed on 2026-07-31</x:v>
      </x:c>
      <x:c r="AQ100" s="16" t="str">
        <x:v>Non-destructive responsive route evidence only; exact API request IDs database RLS audit-event and native checks remain explicit separate gaps</x:v>
      </x:c>
    </x:row>
    <x:row r="101" ht="48" customHeight="1">
      <x:c r="A101" s="18" t="str">
        <x:v>ROUTE-069</x:v>
      </x:c>
      <x:c r="B101" s="16" t="str">
        <x:v>ROUTE-INVENTORY</x:v>
      </x:c>
      <x:c r="C101" s="16" t="str">
        <x:v>Reachable route coverage</x:v>
      </x:c>
      <x:c r="D101" s="16" t="str">
        <x:v>to classify</x:v>
      </x:c>
      <x:c r="E101" s="16" t="str">
        <x:v>app/development/media-gallery.tsx</x:v>
      </x:c>
      <x:c r="F101" s="16" t="str">
        <x:v>app/development/media-gallery.tsx</x:v>
      </x:c>
      <x:c r="G101" s="16" t="str">
        <x:v>inventory</x:v>
      </x:c>
      <x:c r="H101" s="16" t="str"/>
      <x:c r="I101" s="16" t="str">
        <x:v>staging</x:v>
      </x:c>
      <x:c r="J101" s="16" t="str"/>
      <x:c r="K101" s="16" t="str"/>
      <x:c r="L101" s="16" t="str"/>
      <x:c r="M101" s="16" t="str"/>
      <x:c r="N101" s="16" t="str"/>
      <x:c r="O101" s="16" t="str"/>
      <x:c r="P101" s="16" t="str"/>
      <x:c r="Q101" s="16" t="str"/>
      <x:c r="R101" s="16" t="str"/>
      <x:c r="S101" s="16" t="str"/>
      <x:c r="T101" s="16" t="str"/>
      <x:c r="U101" s="16" t="str"/>
      <x:c r="V101" s="16" t="str"/>
      <x:c r="W101" s="16" t="str"/>
      <x:c r="X101" s="16" t="str"/>
      <x:c r="Y101" s="16" t="str"/>
      <x:c r="Z101" s="16" t="str"/>
      <x:c r="AA101" s="16" t="str"/>
      <x:c r="AB101" s="16" t="str"/>
      <x:c r="AC101" s="16" t="str"/>
      <x:c r="AD101" s="16" t="str"/>
      <x:c r="AE101" s="16" t="str"/>
      <x:c r="AF101" s="16" t="str"/>
      <x:c r="AG101" s="16" t="str"/>
      <x:c r="AH101" s="16" t="str"/>
      <x:c r="AI101" s="16" t="str"/>
      <x:c r="AJ101" s="16" t="str"/>
      <x:c r="AK101" s="16" t="str">
        <x:v>pending</x:v>
      </x:c>
      <x:c r="AL101" s="16" t="str"/>
      <x:c r="AM101" s="16" t="str"/>
      <x:c r="AN101" s="16" t="str"/>
      <x:c r="AO101" s="16" t="str"/>
      <x:c r="AP101" s="16" t="str">
        <x:v>pending</x:v>
      </x:c>
      <x:c r="AQ101" s="16" t="str">
        <x:v>Discovered from executable Expo Router tree; runtime coverage pending</x:v>
      </x:c>
    </x:row>
    <x:row r="102" ht="48" customHeight="1">
      <x:c r="A102" s="18" t="str">
        <x:v>ROUTE-070</x:v>
      </x:c>
      <x:c r="B102" s="16" t="str">
        <x:v>coach_progress | parent_progress | athlete_progress</x:v>
      </x:c>
      <x:c r="C102" s="16" t="str">
        <x:v>Coach opens development progress | Parent opens my progress | Athlete opens my progress</x:v>
      </x:c>
      <x:c r="D102" s="16" t="str">
        <x:v>coach parent athlete</x:v>
      </x:c>
      <x:c r="E102" s="16" t="str">
        <x:v>app/development/my-progress.tsx</x:v>
      </x:c>
      <x:c r="F102" s="16" t="str">
        <x:v>app/development/my-progress.tsx</x:v>
      </x:c>
      <x:c r="G102" s="16" t="str">
        <x:v>responsive route load and configured non-mutating assertions</x:v>
      </x:c>
      <x:c r="H102" s="16" t="str">
        <x:v>iPhone 16 Pro responsive browser viewport</x:v>
      </x:c>
      <x:c r="I102" s="16" t="str">
        <x:v>local Expo web bundle backed by staging API</x:v>
      </x:c>
      <x:c r="J102" s="16" t="str">
        <x:v>/development/my-progress</x:v>
      </x:c>
      <x:c r="K102" s="16" t="str">
        <x:v>Authenticated seeded role account and linked staging dataset</x:v>
      </x:c>
      <x:c r="L102" s="16" t="str">
        <x:v>1</x:v>
      </x:c>
      <x:c r="M102" s="16" t="str">
        <x:v>coach_progress | parent_progress | athlete_progress</x:v>
      </x:c>
      <x:c r="N102" s="16" t="str">
        <x:v>Navigate directly and execute the flow runner assertions without submitting a product mutation</x:v>
      </x:c>
      <x:c r="O102" s="16" t="str">
        <x:v>Resolve the intended route without a failed request runtime exception shared error state nested button horizontal overflow or product-text finding</x:v>
      </x:c>
      <x:c r="P102" s="16" t="str">
        <x:v>3/3 mapped flows returned status ok and severity none at 390px</x:v>
      </x:c>
      <x:c r="Q102" s="16" t="str">
        <x:v>Browser-observed role-scoped route requests</x:v>
      </x:c>
      <x:c r="R102" s="16" t="str">
        <x:v>No failed request detected; exact endpoint-by-endpoint reconciliation remains a separate audit gap</x:v>
      </x:c>
      <x:c r="S102" s="16" t="str"/>
      <x:c r="T102" s="16" t="str"/>
      <x:c r="U102" s="16" t="str">
        <x:v>No database mutation executed by this route-load regression</x:v>
      </x:c>
      <x:c r="V102" s="16" t="str">
        <x:v>Not directly exercised in this route-load regression</x:v>
      </x:c>
      <x:c r="W102" s="16" t="str">
        <x:v>Not reconciled in this route-load regression</x:v>
      </x:c>
      <x:c r="X102" s="16" t="str"/>
      <x:c r="Y102" s="16" t="str">
        <x:v>Sentry API unavailable; runner detected no runtime exception or console error classified as high or medium</x:v>
      </x:c>
      <x:c r="Z102" s="16" t="str">
        <x:v>coach parent athlete</x:v>
      </x:c>
      <x:c r="AA102" s="16" t="str">
        <x:v>coach, parent, athlete mapped route flows passed</x:v>
      </x:c>
      <x:c r="AB102" s="16" t="str">
        <x:v>automated route pass; manual visual corpus tracked separately</x:v>
      </x:c>
      <x:c r="AC102" s="16" t="str">
        <x:v>configured actions passed where present; otherwise route-load only</x:v>
      </x:c>
      <x:c r="AD102" s="16" t="str">
        <x:v>no automated high or medium finding</x:v>
      </x:c>
      <x:c r="AE102" s="16" t="str">
        <x:v>0 product-text findings</x:v>
      </x:c>
      <x:c r="AF102" s="16" t="str">
        <x:v>0 product-text findings</x:v>
      </x:c>
      <x:c r="AG102" s="16" t="str">
        <x:v>Shared React Native surface passed responsive runtime; native interaction remains blocked by host DevToolsSecurity</x:v>
      </x:c>
      <x:c r="AH102" s="16" t="str">
        <x:v>football product route</x:v>
      </x:c>
      <x:c r="AI102" s="16" t="str">
        <x:v>390px viewport with 0 horizontal overflow</x:v>
      </x:c>
      <x:c r="AJ102" s="16" t="str">
        <x:v>0 nested buttons; native semantic tree and VoiceOver remain unverified</x:v>
      </x:c>
      <x:c r="AK102" s="16" t="str">
        <x:v>passed</x:v>
      </x:c>
      <x:c r="AL102" s="16" t="str"/>
      <x:c r="AM102" s="16" t="str">
        <x:v>reviews/ios-native-audit/runtime/2026-07-31/report.merged.json</x:v>
      </x:c>
      <x:c r="AN102" s="16" t="str"/>
      <x:c r="AO102" s="16" t="str">
        <x:v>chore(audit): reconcile responsive route evidence</x:v>
      </x:c>
      <x:c r="AP102" s="16" t="str">
        <x:v>3/3 fresh mapped flows passed on 2026-07-31</x:v>
      </x:c>
      <x:c r="AQ102" s="16" t="str">
        <x:v>Non-destructive responsive route evidence only; exact API request IDs database RLS audit-event and native checks remain explicit separate gaps</x:v>
      </x:c>
    </x:row>
    <x:row r="103" ht="48" customHeight="1">
      <x:c r="A103" s="18" t="str">
        <x:v>ROUTE-071</x:v>
      </x:c>
      <x:c r="B103" s="16" t="str">
        <x:v>ROUTE-INVENTORY</x:v>
      </x:c>
      <x:c r="C103" s="16" t="str">
        <x:v>Reachable route coverage</x:v>
      </x:c>
      <x:c r="D103" s="16" t="str">
        <x:v>to classify</x:v>
      </x:c>
      <x:c r="E103" s="16" t="str">
        <x:v>app/development/progress-loop.tsx</x:v>
      </x:c>
      <x:c r="F103" s="16" t="str">
        <x:v>app/development/progress-loop.tsx</x:v>
      </x:c>
      <x:c r="G103" s="16" t="str">
        <x:v>inventory</x:v>
      </x:c>
      <x:c r="H103" s="16" t="str"/>
      <x:c r="I103" s="16" t="str">
        <x:v>staging</x:v>
      </x:c>
      <x:c r="J103" s="16" t="str"/>
      <x:c r="K103" s="16" t="str"/>
      <x:c r="L103" s="16" t="str"/>
      <x:c r="M103" s="16" t="str"/>
      <x:c r="N103" s="16" t="str"/>
      <x:c r="O103" s="16" t="str"/>
      <x:c r="P103" s="16" t="str"/>
      <x:c r="Q103" s="16" t="str"/>
      <x:c r="R103" s="16" t="str"/>
      <x:c r="S103" s="16" t="str"/>
      <x:c r="T103" s="16" t="str"/>
      <x:c r="U103" s="16" t="str"/>
      <x:c r="V103" s="16" t="str"/>
      <x:c r="W103" s="16" t="str"/>
      <x:c r="X103" s="16" t="str"/>
      <x:c r="Y103" s="16" t="str"/>
      <x:c r="Z103" s="16" t="str"/>
      <x:c r="AA103" s="16" t="str"/>
      <x:c r="AB103" s="16" t="str"/>
      <x:c r="AC103" s="16" t="str"/>
      <x:c r="AD103" s="16" t="str"/>
      <x:c r="AE103" s="16" t="str"/>
      <x:c r="AF103" s="16" t="str"/>
      <x:c r="AG103" s="16" t="str"/>
      <x:c r="AH103" s="16" t="str"/>
      <x:c r="AI103" s="16" t="str"/>
      <x:c r="AJ103" s="16" t="str"/>
      <x:c r="AK103" s="16" t="str">
        <x:v>pending</x:v>
      </x:c>
      <x:c r="AL103" s="16" t="str"/>
      <x:c r="AM103" s="16" t="str"/>
      <x:c r="AN103" s="16" t="str"/>
      <x:c r="AO103" s="16" t="str"/>
      <x:c r="AP103" s="16" t="str">
        <x:v>pending</x:v>
      </x:c>
      <x:c r="AQ103" s="16" t="str">
        <x:v>Discovered from executable Expo Router tree; runtime coverage pending</x:v>
      </x:c>
    </x:row>
    <x:row r="104" ht="48" customHeight="1">
      <x:c r="A104" s="18" t="str">
        <x:v>ROUTE-072</x:v>
      </x:c>
      <x:c r="B104" s="16" t="str">
        <x:v>ROUTE-INVENTORY</x:v>
      </x:c>
      <x:c r="C104" s="16" t="str">
        <x:v>Reachable route coverage</x:v>
      </x:c>
      <x:c r="D104" s="16" t="str">
        <x:v>to classify</x:v>
      </x:c>
      <x:c r="E104" s="16" t="str">
        <x:v>app/development/session-history.tsx</x:v>
      </x:c>
      <x:c r="F104" s="16" t="str">
        <x:v>app/development/session-history.tsx</x:v>
      </x:c>
      <x:c r="G104" s="16" t="str">
        <x:v>inventory</x:v>
      </x:c>
      <x:c r="H104" s="16" t="str"/>
      <x:c r="I104" s="16" t="str">
        <x:v>staging</x:v>
      </x:c>
      <x:c r="J104" s="16" t="str"/>
      <x:c r="K104" s="16" t="str"/>
      <x:c r="L104" s="16" t="str"/>
      <x:c r="M104" s="16" t="str"/>
      <x:c r="N104" s="16" t="str"/>
      <x:c r="O104" s="16" t="str"/>
      <x:c r="P104" s="16" t="str"/>
      <x:c r="Q104" s="16" t="str"/>
      <x:c r="R104" s="16" t="str"/>
      <x:c r="S104" s="16" t="str"/>
      <x:c r="T104" s="16" t="str"/>
      <x:c r="U104" s="16" t="str"/>
      <x:c r="V104" s="16" t="str"/>
      <x:c r="W104" s="16" t="str"/>
      <x:c r="X104" s="16" t="str"/>
      <x:c r="Y104" s="16" t="str"/>
      <x:c r="Z104" s="16" t="str"/>
      <x:c r="AA104" s="16" t="str"/>
      <x:c r="AB104" s="16" t="str"/>
      <x:c r="AC104" s="16" t="str"/>
      <x:c r="AD104" s="16" t="str"/>
      <x:c r="AE104" s="16" t="str"/>
      <x:c r="AF104" s="16" t="str"/>
      <x:c r="AG104" s="16" t="str"/>
      <x:c r="AH104" s="16" t="str"/>
      <x:c r="AI104" s="16" t="str"/>
      <x:c r="AJ104" s="16" t="str"/>
      <x:c r="AK104" s="16" t="str">
        <x:v>pending</x:v>
      </x:c>
      <x:c r="AL104" s="16" t="str"/>
      <x:c r="AM104" s="16" t="str"/>
      <x:c r="AN104" s="16" t="str"/>
      <x:c r="AO104" s="16" t="str"/>
      <x:c r="AP104" s="16" t="str">
        <x:v>pending</x:v>
      </x:c>
      <x:c r="AQ104" s="16" t="str">
        <x:v>Discovered from executable Expo Router tree; runtime coverage pending</x:v>
      </x:c>
    </x:row>
    <x:row r="105" ht="48" customHeight="1">
      <x:c r="A105" s="18" t="str">
        <x:v>ROUTE-073</x:v>
      </x:c>
      <x:c r="B105" s="16" t="str">
        <x:v>ROUTE-INVENTORY</x:v>
      </x:c>
      <x:c r="C105" s="16" t="str">
        <x:v>Reachable route coverage</x:v>
      </x:c>
      <x:c r="D105" s="16" t="str">
        <x:v>to classify</x:v>
      </x:c>
      <x:c r="E105" s="16" t="str">
        <x:v>app/development/session/[sessionId].tsx</x:v>
      </x:c>
      <x:c r="F105" s="16" t="str">
        <x:v>app/development/session/[sessionId].tsx</x:v>
      </x:c>
      <x:c r="G105" s="16" t="str">
        <x:v>inventory</x:v>
      </x:c>
      <x:c r="H105" s="16" t="str"/>
      <x:c r="I105" s="16" t="str">
        <x:v>staging</x:v>
      </x:c>
      <x:c r="J105" s="16" t="str"/>
      <x:c r="K105" s="16" t="str"/>
      <x:c r="L105" s="16" t="str"/>
      <x:c r="M105" s="16" t="str"/>
      <x:c r="N105" s="16" t="str"/>
      <x:c r="O105" s="16" t="str"/>
      <x:c r="P105" s="16" t="str"/>
      <x:c r="Q105" s="16" t="str"/>
      <x:c r="R105" s="16" t="str"/>
      <x:c r="S105" s="16" t="str"/>
      <x:c r="T105" s="16" t="str"/>
      <x:c r="U105" s="16" t="str"/>
      <x:c r="V105" s="16" t="str"/>
      <x:c r="W105" s="16" t="str"/>
      <x:c r="X105" s="16" t="str"/>
      <x:c r="Y105" s="16" t="str"/>
      <x:c r="Z105" s="16" t="str"/>
      <x:c r="AA105" s="16" t="str"/>
      <x:c r="AB105" s="16" t="str"/>
      <x:c r="AC105" s="16" t="str"/>
      <x:c r="AD105" s="16" t="str"/>
      <x:c r="AE105" s="16" t="str"/>
      <x:c r="AF105" s="16" t="str"/>
      <x:c r="AG105" s="16" t="str"/>
      <x:c r="AH105" s="16" t="str"/>
      <x:c r="AI105" s="16" t="str"/>
      <x:c r="AJ105" s="16" t="str"/>
      <x:c r="AK105" s="16" t="str">
        <x:v>pending</x:v>
      </x:c>
      <x:c r="AL105" s="16" t="str"/>
      <x:c r="AM105" s="16" t="str"/>
      <x:c r="AN105" s="16" t="str"/>
      <x:c r="AO105" s="16" t="str"/>
      <x:c r="AP105" s="16" t="str">
        <x:v>pending</x:v>
      </x:c>
      <x:c r="AQ105" s="16" t="str">
        <x:v>Discovered from executable Expo Router tree; runtime coverage pending</x:v>
      </x:c>
    </x:row>
    <x:row r="106" ht="48" customHeight="1">
      <x:c r="A106" s="18" t="str">
        <x:v>ROUTE-074</x:v>
      </x:c>
      <x:c r="B106" s="16" t="str">
        <x:v>coach_discover_sessions | parent_discover_sessions | athlete_discover_sessions</x:v>
      </x:c>
      <x:c r="C106" s="16" t="str">
        <x:v>Coach opens discover sessions | Parent opens discover sessions | Athlete opens discover sessions</x:v>
      </x:c>
      <x:c r="D106" s="16" t="str">
        <x:v>coach parent athlete</x:v>
      </x:c>
      <x:c r="E106" s="16" t="str">
        <x:v>app/discover-sessions.tsx</x:v>
      </x:c>
      <x:c r="F106" s="16" t="str">
        <x:v>app/discover-sessions.tsx</x:v>
      </x:c>
      <x:c r="G106" s="16" t="str">
        <x:v>responsive route load and configured non-mutating assertions</x:v>
      </x:c>
      <x:c r="H106" s="16" t="str">
        <x:v>iPhone 16 Pro responsive browser viewport</x:v>
      </x:c>
      <x:c r="I106" s="16" t="str">
        <x:v>local Expo web bundle backed by staging API</x:v>
      </x:c>
      <x:c r="J106" s="16" t="str">
        <x:v>/discover-sessions</x:v>
      </x:c>
      <x:c r="K106" s="16" t="str">
        <x:v>Authenticated seeded role account and linked staging dataset</x:v>
      </x:c>
      <x:c r="L106" s="16" t="str">
        <x:v>1</x:v>
      </x:c>
      <x:c r="M106" s="16" t="str">
        <x:v>coach_discover_sessions | parent_discover_sessions | athlete_discover_sessions</x:v>
      </x:c>
      <x:c r="N106" s="16" t="str">
        <x:v>Navigate directly and execute the flow runner assertions without submitting a product mutation</x:v>
      </x:c>
      <x:c r="O106" s="16" t="str">
        <x:v>Resolve the intended route without a failed request runtime exception shared error state nested button horizontal overflow or product-text finding</x:v>
      </x:c>
      <x:c r="P106" s="16" t="str">
        <x:v>3/3 mapped flows returned status ok and severity none at 390px</x:v>
      </x:c>
      <x:c r="Q106" s="16" t="str">
        <x:v>Browser-observed role-scoped route requests</x:v>
      </x:c>
      <x:c r="R106" s="16" t="str">
        <x:v>No failed request detected; exact endpoint-by-endpoint reconciliation remains a separate audit gap</x:v>
      </x:c>
      <x:c r="S106" s="16" t="str"/>
      <x:c r="T106" s="16" t="str"/>
      <x:c r="U106" s="16" t="str">
        <x:v>No database mutation executed by this route-load regression</x:v>
      </x:c>
      <x:c r="V106" s="16" t="str">
        <x:v>Not directly exercised in this route-load regression</x:v>
      </x:c>
      <x:c r="W106" s="16" t="str">
        <x:v>Not reconciled in this route-load regression</x:v>
      </x:c>
      <x:c r="X106" s="16" t="str"/>
      <x:c r="Y106" s="16" t="str">
        <x:v>Sentry API unavailable; runner detected no runtime exception or console error classified as high or medium</x:v>
      </x:c>
      <x:c r="Z106" s="16" t="str">
        <x:v>coach parent athlete</x:v>
      </x:c>
      <x:c r="AA106" s="16" t="str">
        <x:v>coach, parent, athlete mapped route flows passed</x:v>
      </x:c>
      <x:c r="AB106" s="16" t="str">
        <x:v>automated route pass; manual visual corpus tracked separately</x:v>
      </x:c>
      <x:c r="AC106" s="16" t="str">
        <x:v>configured actions passed where present; otherwise route-load only</x:v>
      </x:c>
      <x:c r="AD106" s="16" t="str">
        <x:v>no automated high or medium finding</x:v>
      </x:c>
      <x:c r="AE106" s="16" t="str">
        <x:v>0 product-text findings</x:v>
      </x:c>
      <x:c r="AF106" s="16" t="str">
        <x:v>0 product-text findings</x:v>
      </x:c>
      <x:c r="AG106" s="16" t="str">
        <x:v>Shared React Native surface passed responsive runtime; native interaction remains blocked by host DevToolsSecurity</x:v>
      </x:c>
      <x:c r="AH106" s="16" t="str">
        <x:v>football product route</x:v>
      </x:c>
      <x:c r="AI106" s="16" t="str">
        <x:v>390px viewport with 0 horizontal overflow</x:v>
      </x:c>
      <x:c r="AJ106" s="16" t="str">
        <x:v>0 nested buttons; native semantic tree and VoiceOver remain unverified</x:v>
      </x:c>
      <x:c r="AK106" s="16" t="str">
        <x:v>passed</x:v>
      </x:c>
      <x:c r="AL106" s="16" t="str"/>
      <x:c r="AM106" s="16" t="str">
        <x:v>reviews/ios-native-audit/runtime/2026-07-31/report.merged.json</x:v>
      </x:c>
      <x:c r="AN106" s="16" t="str"/>
      <x:c r="AO106" s="16" t="str">
        <x:v>chore(audit): reconcile responsive route evidence</x:v>
      </x:c>
      <x:c r="AP106" s="16" t="str">
        <x:v>3/3 fresh mapped flows passed on 2026-07-31</x:v>
      </x:c>
      <x:c r="AQ106" s="16" t="str">
        <x:v>Non-destructive responsive route evidence only; exact API request IDs database RLS audit-event and native checks remain explicit separate gaps</x:v>
      </x:c>
    </x:row>
    <x:row r="107" ht="48" customHeight="1">
      <x:c r="A107" s="18" t="str">
        <x:v>ROUTE-075</x:v>
      </x:c>
      <x:c r="B107" s="16" t="str">
        <x:v>ROUTE-INVENTORY</x:v>
      </x:c>
      <x:c r="C107" s="16" t="str">
        <x:v>Reachable route coverage</x:v>
      </x:c>
      <x:c r="D107" s="16" t="str">
        <x:v>to classify</x:v>
      </x:c>
      <x:c r="E107" s="16" t="str">
        <x:v>app/discover/map.tsx</x:v>
      </x:c>
      <x:c r="F107" s="16" t="str">
        <x:v>app/discover/map.tsx</x:v>
      </x:c>
      <x:c r="G107" s="16" t="str">
        <x:v>inventory</x:v>
      </x:c>
      <x:c r="H107" s="16" t="str"/>
      <x:c r="I107" s="16" t="str">
        <x:v>staging</x:v>
      </x:c>
      <x:c r="J107" s="16" t="str"/>
      <x:c r="K107" s="16" t="str"/>
      <x:c r="L107" s="16" t="str"/>
      <x:c r="M107" s="16" t="str"/>
      <x:c r="N107" s="16" t="str"/>
      <x:c r="O107" s="16" t="str"/>
      <x:c r="P107" s="16" t="str"/>
      <x:c r="Q107" s="16" t="str"/>
      <x:c r="R107" s="16" t="str"/>
      <x:c r="S107" s="16" t="str"/>
      <x:c r="T107" s="16" t="str"/>
      <x:c r="U107" s="16" t="str"/>
      <x:c r="V107" s="16" t="str"/>
      <x:c r="W107" s="16" t="str"/>
      <x:c r="X107" s="16" t="str"/>
      <x:c r="Y107" s="16" t="str"/>
      <x:c r="Z107" s="16" t="str"/>
      <x:c r="AA107" s="16" t="str"/>
      <x:c r="AB107" s="16" t="str"/>
      <x:c r="AC107" s="16" t="str"/>
      <x:c r="AD107" s="16" t="str"/>
      <x:c r="AE107" s="16" t="str"/>
      <x:c r="AF107" s="16" t="str"/>
      <x:c r="AG107" s="16" t="str"/>
      <x:c r="AH107" s="16" t="str"/>
      <x:c r="AI107" s="16" t="str"/>
      <x:c r="AJ107" s="16" t="str"/>
      <x:c r="AK107" s="16" t="str">
        <x:v>pending</x:v>
      </x:c>
      <x:c r="AL107" s="16" t="str"/>
      <x:c r="AM107" s="16" t="str"/>
      <x:c r="AN107" s="16" t="str"/>
      <x:c r="AO107" s="16" t="str"/>
      <x:c r="AP107" s="16" t="str">
        <x:v>pending</x:v>
      </x:c>
      <x:c r="AQ107" s="16" t="str">
        <x:v>Discovered from executable Expo Router tree; runtime coverage pending</x:v>
      </x:c>
    </x:row>
    <x:row r="108" ht="48" customHeight="1">
      <x:c r="A108" s="18" t="str">
        <x:v>ROUTE-076</x:v>
      </x:c>
      <x:c r="B108" s="16" t="str">
        <x:v>coach_earnings | coach_earnings_payment_instructions</x:v>
      </x:c>
      <x:c r="C108" s="16" t="str">
        <x:v>Coach opens earnings | Coach can open direct payment instructions</x:v>
      </x:c>
      <x:c r="D108" s="16" t="str">
        <x:v>coach</x:v>
      </x:c>
      <x:c r="E108" s="16" t="str">
        <x:v>app/earnings.tsx</x:v>
      </x:c>
      <x:c r="F108" s="16" t="str">
        <x:v>app/earnings.tsx</x:v>
      </x:c>
      <x:c r="G108" s="16" t="str">
        <x:v>responsive route load and configured non-mutating assertions</x:v>
      </x:c>
      <x:c r="H108" s="16" t="str">
        <x:v>iPhone 16 Pro responsive browser viewport</x:v>
      </x:c>
      <x:c r="I108" s="16" t="str">
        <x:v>local Expo web bundle backed by staging API</x:v>
      </x:c>
      <x:c r="J108" s="16" t="str">
        <x:v>/earnings</x:v>
      </x:c>
      <x:c r="K108" s="16" t="str">
        <x:v>Authenticated seeded role account and linked staging dataset</x:v>
      </x:c>
      <x:c r="L108" s="16" t="str">
        <x:v>1</x:v>
      </x:c>
      <x:c r="M108" s="16" t="str">
        <x:v>coach_earnings | coach_earnings_payment_instructions</x:v>
      </x:c>
      <x:c r="N108" s="16" t="str">
        <x:v>Navigate directly and execute the flow runner assertions without submitting a product mutation</x:v>
      </x:c>
      <x:c r="O108" s="16" t="str">
        <x:v>Resolve the intended route without a failed request runtime exception shared error state nested button horizontal overflow or product-text finding</x:v>
      </x:c>
      <x:c r="P108" s="16" t="str">
        <x:v>2/2 mapped flows returned status ok and severity none at 390px</x:v>
      </x:c>
      <x:c r="Q108" s="16" t="str">
        <x:v>Browser-observed role-scoped route requests</x:v>
      </x:c>
      <x:c r="R108" s="16" t="str">
        <x:v>No failed request detected; exact endpoint-by-endpoint reconciliation remains a separate audit gap</x:v>
      </x:c>
      <x:c r="S108" s="16" t="str"/>
      <x:c r="T108" s="16" t="str"/>
      <x:c r="U108" s="16" t="str">
        <x:v>No database mutation executed by this route-load regression</x:v>
      </x:c>
      <x:c r="V108" s="16" t="str">
        <x:v>Not directly exercised in this route-load regression</x:v>
      </x:c>
      <x:c r="W108" s="16" t="str">
        <x:v>Not reconciled in this route-load regression</x:v>
      </x:c>
      <x:c r="X108" s="16" t="str"/>
      <x:c r="Y108" s="16" t="str">
        <x:v>Sentry API unavailable; runner detected no runtime exception or console error classified as high or medium</x:v>
      </x:c>
      <x:c r="Z108" s="16" t="str">
        <x:v>coach</x:v>
      </x:c>
      <x:c r="AA108" s="16" t="str">
        <x:v>coach mapped route flow passed</x:v>
      </x:c>
      <x:c r="AB108" s="16" t="str">
        <x:v>automated route pass; manual visual corpus tracked separately</x:v>
      </x:c>
      <x:c r="AC108" s="16" t="str">
        <x:v>configured actions passed where present; otherwise route-load only</x:v>
      </x:c>
      <x:c r="AD108" s="16" t="str">
        <x:v>no automated high or medium finding</x:v>
      </x:c>
      <x:c r="AE108" s="16" t="str">
        <x:v>0 product-text findings</x:v>
      </x:c>
      <x:c r="AF108" s="16" t="str">
        <x:v>0 product-text findings</x:v>
      </x:c>
      <x:c r="AG108" s="16" t="str">
        <x:v>Shared React Native surface passed responsive runtime; native interaction remains blocked by host DevToolsSecurity</x:v>
      </x:c>
      <x:c r="AH108" s="16" t="str">
        <x:v>football product route</x:v>
      </x:c>
      <x:c r="AI108" s="16" t="str">
        <x:v>390px viewport with 0 horizontal overflow</x:v>
      </x:c>
      <x:c r="AJ108" s="16" t="str">
        <x:v>0 nested buttons; native semantic tree and VoiceOver remain unverified</x:v>
      </x:c>
      <x:c r="AK108" s="16" t="str">
        <x:v>passed</x:v>
      </x:c>
      <x:c r="AL108" s="16" t="str"/>
      <x:c r="AM108" s="16" t="str">
        <x:v>reviews/ios-native-audit/runtime/2026-07-31/report.merged.json</x:v>
      </x:c>
      <x:c r="AN108" s="16" t="str"/>
      <x:c r="AO108" s="16" t="str">
        <x:v>chore(audit): reconcile responsive route evidence</x:v>
      </x:c>
      <x:c r="AP108" s="16" t="str">
        <x:v>2/2 fresh mapped flows passed on 2026-07-31</x:v>
      </x:c>
      <x:c r="AQ108" s="16" t="str">
        <x:v>Non-destructive responsive route evidence only; exact API request IDs database RLS audit-event and native checks remain explicit separate gaps</x:v>
      </x:c>
    </x:row>
    <x:row r="109" ht="48" customHeight="1">
      <x:c r="A109" s="18" t="str">
        <x:v>ROUTE-077</x:v>
      </x:c>
      <x:c r="B109" s="16" t="str">
        <x:v>ROUTE-INVENTORY</x:v>
      </x:c>
      <x:c r="C109" s="16" t="str">
        <x:v>Reachable route coverage</x:v>
      </x:c>
      <x:c r="D109" s="16" t="str">
        <x:v>to classify</x:v>
      </x:c>
      <x:c r="E109" s="16" t="str">
        <x:v>app/events/[id].tsx</x:v>
      </x:c>
      <x:c r="F109" s="16" t="str">
        <x:v>app/events/[id].tsx</x:v>
      </x:c>
      <x:c r="G109" s="16" t="str">
        <x:v>inventory</x:v>
      </x:c>
      <x:c r="H109" s="16" t="str"/>
      <x:c r="I109" s="16" t="str">
        <x:v>staging</x:v>
      </x:c>
      <x:c r="J109" s="16" t="str"/>
      <x:c r="K109" s="16" t="str"/>
      <x:c r="L109" s="16" t="str"/>
      <x:c r="M109" s="16" t="str"/>
      <x:c r="N109" s="16" t="str"/>
      <x:c r="O109" s="16" t="str"/>
      <x:c r="P109" s="16" t="str"/>
      <x:c r="Q109" s="16" t="str"/>
      <x:c r="R109" s="16" t="str"/>
      <x:c r="S109" s="16" t="str"/>
      <x:c r="T109" s="16" t="str"/>
      <x:c r="U109" s="16" t="str"/>
      <x:c r="V109" s="16" t="str"/>
      <x:c r="W109" s="16" t="str"/>
      <x:c r="X109" s="16" t="str"/>
      <x:c r="Y109" s="16" t="str"/>
      <x:c r="Z109" s="16" t="str"/>
      <x:c r="AA109" s="16" t="str"/>
      <x:c r="AB109" s="16" t="str"/>
      <x:c r="AC109" s="16" t="str"/>
      <x:c r="AD109" s="16" t="str"/>
      <x:c r="AE109" s="16" t="str"/>
      <x:c r="AF109" s="16" t="str"/>
      <x:c r="AG109" s="16" t="str"/>
      <x:c r="AH109" s="16" t="str"/>
      <x:c r="AI109" s="16" t="str"/>
      <x:c r="AJ109" s="16" t="str"/>
      <x:c r="AK109" s="16" t="str">
        <x:v>pending</x:v>
      </x:c>
      <x:c r="AL109" s="16" t="str"/>
      <x:c r="AM109" s="16" t="str"/>
      <x:c r="AN109" s="16" t="str"/>
      <x:c r="AO109" s="16" t="str"/>
      <x:c r="AP109" s="16" t="str">
        <x:v>pending</x:v>
      </x:c>
      <x:c r="AQ109" s="16" t="str">
        <x:v>Discovered from executable Expo Router tree; runtime coverage pending</x:v>
      </x:c>
    </x:row>
    <x:row r="110" ht="48" customHeight="1">
      <x:c r="A110" s="18" t="str">
        <x:v>ROUTE-078</x:v>
      </x:c>
      <x:c r="B110" s="16" t="str">
        <x:v>ROUTE-INVENTORY</x:v>
      </x:c>
      <x:c r="C110" s="16" t="str">
        <x:v>Reachable route coverage</x:v>
      </x:c>
      <x:c r="D110" s="16" t="str">
        <x:v>to classify</x:v>
      </x:c>
      <x:c r="E110" s="16" t="str">
        <x:v>app/events/[id]/attendees.tsx</x:v>
      </x:c>
      <x:c r="F110" s="16" t="str">
        <x:v>app/events/[id]/attendees.tsx</x:v>
      </x:c>
      <x:c r="G110" s="16" t="str">
        <x:v>inventory</x:v>
      </x:c>
      <x:c r="H110" s="16" t="str"/>
      <x:c r="I110" s="16" t="str">
        <x:v>staging</x:v>
      </x:c>
      <x:c r="J110" s="16" t="str"/>
      <x:c r="K110" s="16" t="str"/>
      <x:c r="L110" s="16" t="str"/>
      <x:c r="M110" s="16" t="str"/>
      <x:c r="N110" s="16" t="str"/>
      <x:c r="O110" s="16" t="str"/>
      <x:c r="P110" s="16" t="str"/>
      <x:c r="Q110" s="16" t="str"/>
      <x:c r="R110" s="16" t="str"/>
      <x:c r="S110" s="16" t="str"/>
      <x:c r="T110" s="16" t="str"/>
      <x:c r="U110" s="16" t="str"/>
      <x:c r="V110" s="16" t="str"/>
      <x:c r="W110" s="16" t="str"/>
      <x:c r="X110" s="16" t="str"/>
      <x:c r="Y110" s="16" t="str"/>
      <x:c r="Z110" s="16" t="str"/>
      <x:c r="AA110" s="16" t="str"/>
      <x:c r="AB110" s="16" t="str"/>
      <x:c r="AC110" s="16" t="str"/>
      <x:c r="AD110" s="16" t="str"/>
      <x:c r="AE110" s="16" t="str"/>
      <x:c r="AF110" s="16" t="str"/>
      <x:c r="AG110" s="16" t="str"/>
      <x:c r="AH110" s="16" t="str"/>
      <x:c r="AI110" s="16" t="str"/>
      <x:c r="AJ110" s="16" t="str"/>
      <x:c r="AK110" s="16" t="str">
        <x:v>pending</x:v>
      </x:c>
      <x:c r="AL110" s="16" t="str"/>
      <x:c r="AM110" s="16" t="str"/>
      <x:c r="AN110" s="16" t="str"/>
      <x:c r="AO110" s="16" t="str"/>
      <x:c r="AP110" s="16" t="str">
        <x:v>pending</x:v>
      </x:c>
      <x:c r="AQ110" s="16" t="str">
        <x:v>Discovered from executable Expo Router tree; runtime coverage pending</x:v>
      </x:c>
    </x:row>
    <x:row r="111" ht="48" customHeight="1">
      <x:c r="A111" s="18" t="str">
        <x:v>ROUTE-079</x:v>
      </x:c>
      <x:c r="B111" s="16" t="str">
        <x:v>ROUTE-INVENTORY</x:v>
      </x:c>
      <x:c r="C111" s="16" t="str">
        <x:v>Reachable route coverage</x:v>
      </x:c>
      <x:c r="D111" s="16" t="str">
        <x:v>to classify</x:v>
      </x:c>
      <x:c r="E111" s="16" t="str">
        <x:v>app/events/[id]/rsvp.tsx</x:v>
      </x:c>
      <x:c r="F111" s="16" t="str">
        <x:v>app/events/[id]/rsvp.tsx</x:v>
      </x:c>
      <x:c r="G111" s="16" t="str">
        <x:v>inventory</x:v>
      </x:c>
      <x:c r="H111" s="16" t="str"/>
      <x:c r="I111" s="16" t="str">
        <x:v>staging</x:v>
      </x:c>
      <x:c r="J111" s="16" t="str"/>
      <x:c r="K111" s="16" t="str"/>
      <x:c r="L111" s="16" t="str"/>
      <x:c r="M111" s="16" t="str"/>
      <x:c r="N111" s="16" t="str"/>
      <x:c r="O111" s="16" t="str"/>
      <x:c r="P111" s="16" t="str"/>
      <x:c r="Q111" s="16" t="str"/>
      <x:c r="R111" s="16" t="str"/>
      <x:c r="S111" s="16" t="str"/>
      <x:c r="T111" s="16" t="str"/>
      <x:c r="U111" s="16" t="str"/>
      <x:c r="V111" s="16" t="str"/>
      <x:c r="W111" s="16" t="str"/>
      <x:c r="X111" s="16" t="str"/>
      <x:c r="Y111" s="16" t="str"/>
      <x:c r="Z111" s="16" t="str"/>
      <x:c r="AA111" s="16" t="str"/>
      <x:c r="AB111" s="16" t="str"/>
      <x:c r="AC111" s="16" t="str"/>
      <x:c r="AD111" s="16" t="str"/>
      <x:c r="AE111" s="16" t="str"/>
      <x:c r="AF111" s="16" t="str"/>
      <x:c r="AG111" s="16" t="str"/>
      <x:c r="AH111" s="16" t="str"/>
      <x:c r="AI111" s="16" t="str"/>
      <x:c r="AJ111" s="16" t="str"/>
      <x:c r="AK111" s="16" t="str">
        <x:v>pending</x:v>
      </x:c>
      <x:c r="AL111" s="16" t="str"/>
      <x:c r="AM111" s="16" t="str"/>
      <x:c r="AN111" s="16" t="str"/>
      <x:c r="AO111" s="16" t="str"/>
      <x:c r="AP111" s="16" t="str">
        <x:v>pending</x:v>
      </x:c>
      <x:c r="AQ111" s="16" t="str">
        <x:v>Discovered from executable Expo Router tree; runtime coverage pending</x:v>
      </x:c>
    </x:row>
    <x:row r="112" ht="48" customHeight="1">
      <x:c r="A112" s="18" t="str">
        <x:v>ROUTE-080</x:v>
      </x:c>
      <x:c r="B112" s="16" t="str">
        <x:v>ROUTE-INVENTORY</x:v>
      </x:c>
      <x:c r="C112" s="16" t="str">
        <x:v>Reachable route coverage</x:v>
      </x:c>
      <x:c r="D112" s="16" t="str">
        <x:v>to classify</x:v>
      </x:c>
      <x:c r="E112" s="16" t="str">
        <x:v>app/events/create.tsx</x:v>
      </x:c>
      <x:c r="F112" s="16" t="str">
        <x:v>app/events/create.tsx</x:v>
      </x:c>
      <x:c r="G112" s="16" t="str">
        <x:v>inventory</x:v>
      </x:c>
      <x:c r="H112" s="16" t="str"/>
      <x:c r="I112" s="16" t="str">
        <x:v>staging</x:v>
      </x:c>
      <x:c r="J112" s="16" t="str"/>
      <x:c r="K112" s="16" t="str"/>
      <x:c r="L112" s="16" t="str"/>
      <x:c r="M112" s="16" t="str"/>
      <x:c r="N112" s="16" t="str"/>
      <x:c r="O112" s="16" t="str"/>
      <x:c r="P112" s="16" t="str"/>
      <x:c r="Q112" s="16" t="str"/>
      <x:c r="R112" s="16" t="str"/>
      <x:c r="S112" s="16" t="str"/>
      <x:c r="T112" s="16" t="str"/>
      <x:c r="U112" s="16" t="str"/>
      <x:c r="V112" s="16" t="str"/>
      <x:c r="W112" s="16" t="str"/>
      <x:c r="X112" s="16" t="str"/>
      <x:c r="Y112" s="16" t="str"/>
      <x:c r="Z112" s="16" t="str"/>
      <x:c r="AA112" s="16" t="str"/>
      <x:c r="AB112" s="16" t="str"/>
      <x:c r="AC112" s="16" t="str"/>
      <x:c r="AD112" s="16" t="str"/>
      <x:c r="AE112" s="16" t="str"/>
      <x:c r="AF112" s="16" t="str"/>
      <x:c r="AG112" s="16" t="str"/>
      <x:c r="AH112" s="16" t="str"/>
      <x:c r="AI112" s="16" t="str"/>
      <x:c r="AJ112" s="16" t="str"/>
      <x:c r="AK112" s="16" t="str">
        <x:v>pending</x:v>
      </x:c>
      <x:c r="AL112" s="16" t="str"/>
      <x:c r="AM112" s="16" t="str"/>
      <x:c r="AN112" s="16" t="str"/>
      <x:c r="AO112" s="16" t="str"/>
      <x:c r="AP112" s="16" t="str">
        <x:v>pending</x:v>
      </x:c>
      <x:c r="AQ112" s="16" t="str">
        <x:v>Discovered from executable Expo Router tree; runtime coverage pending</x:v>
      </x:c>
    </x:row>
    <x:row r="113" ht="48" customHeight="1">
      <x:c r="A113" s="18" t="str">
        <x:v>ROUTE-081</x:v>
      </x:c>
      <x:c r="B113" s="16" t="str">
        <x:v>ROUTE-INVENTORY</x:v>
      </x:c>
      <x:c r="C113" s="16" t="str">
        <x:v>Reachable route coverage</x:v>
      </x:c>
      <x:c r="D113" s="16" t="str">
        <x:v>to classify</x:v>
      </x:c>
      <x:c r="E113" s="16" t="str">
        <x:v>app/events/index.tsx</x:v>
      </x:c>
      <x:c r="F113" s="16" t="str">
        <x:v>app/events/index.tsx</x:v>
      </x:c>
      <x:c r="G113" s="16" t="str">
        <x:v>inventory</x:v>
      </x:c>
      <x:c r="H113" s="16" t="str"/>
      <x:c r="I113" s="16" t="str">
        <x:v>staging</x:v>
      </x:c>
      <x:c r="J113" s="16" t="str"/>
      <x:c r="K113" s="16" t="str"/>
      <x:c r="L113" s="16" t="str"/>
      <x:c r="M113" s="16" t="str"/>
      <x:c r="N113" s="16" t="str"/>
      <x:c r="O113" s="16" t="str"/>
      <x:c r="P113" s="16" t="str"/>
      <x:c r="Q113" s="16" t="str"/>
      <x:c r="R113" s="16" t="str"/>
      <x:c r="S113" s="16" t="str"/>
      <x:c r="T113" s="16" t="str"/>
      <x:c r="U113" s="16" t="str"/>
      <x:c r="V113" s="16" t="str"/>
      <x:c r="W113" s="16" t="str"/>
      <x:c r="X113" s="16" t="str"/>
      <x:c r="Y113" s="16" t="str"/>
      <x:c r="Z113" s="16" t="str"/>
      <x:c r="AA113" s="16" t="str"/>
      <x:c r="AB113" s="16" t="str"/>
      <x:c r="AC113" s="16" t="str"/>
      <x:c r="AD113" s="16" t="str"/>
      <x:c r="AE113" s="16" t="str"/>
      <x:c r="AF113" s="16" t="str"/>
      <x:c r="AG113" s="16" t="str"/>
      <x:c r="AH113" s="16" t="str"/>
      <x:c r="AI113" s="16" t="str"/>
      <x:c r="AJ113" s="16" t="str"/>
      <x:c r="AK113" s="16" t="str">
        <x:v>pending</x:v>
      </x:c>
      <x:c r="AL113" s="16" t="str"/>
      <x:c r="AM113" s="16" t="str"/>
      <x:c r="AN113" s="16" t="str"/>
      <x:c r="AO113" s="16" t="str"/>
      <x:c r="AP113" s="16" t="str">
        <x:v>pending</x:v>
      </x:c>
      <x:c r="AQ113" s="16" t="str">
        <x:v>Discovered from executable Expo Router tree; runtime coverage pending</x:v>
      </x:c>
    </x:row>
    <x:row r="114" ht="48" customHeight="1">
      <x:c r="A114" s="18" t="str">
        <x:v>ROUTE-082</x:v>
      </x:c>
      <x:c r="B114" s="16" t="str">
        <x:v>ROUTE-INVENTORY</x:v>
      </x:c>
      <x:c r="C114" s="16" t="str">
        <x:v>Reachable route coverage</x:v>
      </x:c>
      <x:c r="D114" s="16" t="str">
        <x:v>to classify</x:v>
      </x:c>
      <x:c r="E114" s="16" t="str">
        <x:v>app/family/[legacy].tsx</x:v>
      </x:c>
      <x:c r="F114" s="16" t="str">
        <x:v>app/family/[legacy].tsx</x:v>
      </x:c>
      <x:c r="G114" s="16" t="str">
        <x:v>inventory</x:v>
      </x:c>
      <x:c r="H114" s="16" t="str"/>
      <x:c r="I114" s="16" t="str">
        <x:v>staging</x:v>
      </x:c>
      <x:c r="J114" s="16" t="str"/>
      <x:c r="K114" s="16" t="str"/>
      <x:c r="L114" s="16" t="str"/>
      <x:c r="M114" s="16" t="str"/>
      <x:c r="N114" s="16" t="str"/>
      <x:c r="O114" s="16" t="str"/>
      <x:c r="P114" s="16" t="str"/>
      <x:c r="Q114" s="16" t="str"/>
      <x:c r="R114" s="16" t="str"/>
      <x:c r="S114" s="16" t="str"/>
      <x:c r="T114" s="16" t="str"/>
      <x:c r="U114" s="16" t="str"/>
      <x:c r="V114" s="16" t="str"/>
      <x:c r="W114" s="16" t="str"/>
      <x:c r="X114" s="16" t="str"/>
      <x:c r="Y114" s="16" t="str"/>
      <x:c r="Z114" s="16" t="str"/>
      <x:c r="AA114" s="16" t="str"/>
      <x:c r="AB114" s="16" t="str"/>
      <x:c r="AC114" s="16" t="str"/>
      <x:c r="AD114" s="16" t="str"/>
      <x:c r="AE114" s="16" t="str"/>
      <x:c r="AF114" s="16" t="str"/>
      <x:c r="AG114" s="16" t="str"/>
      <x:c r="AH114" s="16" t="str"/>
      <x:c r="AI114" s="16" t="str"/>
      <x:c r="AJ114" s="16" t="str"/>
      <x:c r="AK114" s="16" t="str">
        <x:v>pending</x:v>
      </x:c>
      <x:c r="AL114" s="16" t="str"/>
      <x:c r="AM114" s="16" t="str"/>
      <x:c r="AN114" s="16" t="str"/>
      <x:c r="AO114" s="16" t="str"/>
      <x:c r="AP114" s="16" t="str">
        <x:v>pending</x:v>
      </x:c>
      <x:c r="AQ114" s="16" t="str">
        <x:v>Discovered from executable Expo Router tree; runtime coverage pending</x:v>
      </x:c>
    </x:row>
    <x:row r="115" ht="48" customHeight="1">
      <x:c r="A115" s="18" t="str">
        <x:v>ROUTE-083</x:v>
      </x:c>
      <x:c r="B115" s="16" t="str">
        <x:v>parent_family_calendar</x:v>
      </x:c>
      <x:c r="C115" s="16" t="str">
        <x:v>Parent opens family calendar</x:v>
      </x:c>
      <x:c r="D115" s="16" t="str">
        <x:v>parent</x:v>
      </x:c>
      <x:c r="E115" s="16" t="str">
        <x:v>app/family/calendar.tsx</x:v>
      </x:c>
      <x:c r="F115" s="16" t="str">
        <x:v>app/family/calendar.tsx</x:v>
      </x:c>
      <x:c r="G115" s="16" t="str">
        <x:v>responsive route load and configured non-mutating assertions</x:v>
      </x:c>
      <x:c r="H115" s="16" t="str">
        <x:v>iPhone 16 Pro responsive browser viewport</x:v>
      </x:c>
      <x:c r="I115" s="16" t="str">
        <x:v>local Expo web bundle backed by staging API</x:v>
      </x:c>
      <x:c r="J115" s="16" t="str">
        <x:v>/family/calendar</x:v>
      </x:c>
      <x:c r="K115" s="16" t="str">
        <x:v>Authenticated seeded role account and linked staging dataset</x:v>
      </x:c>
      <x:c r="L115" s="16" t="str">
        <x:v>1</x:v>
      </x:c>
      <x:c r="M115" s="16" t="str">
        <x:v>parent_family_calendar</x:v>
      </x:c>
      <x:c r="N115" s="16" t="str">
        <x:v>Navigate directly and execute the flow runner assertions without submitting a product mutation</x:v>
      </x:c>
      <x:c r="O115" s="16" t="str">
        <x:v>Resolve the intended route without a failed request runtime exception shared error state nested button horizontal overflow or product-text finding</x:v>
      </x:c>
      <x:c r="P115" s="16" t="str">
        <x:v>1/1 mapped flows returned status ok and severity none at 390px</x:v>
      </x:c>
      <x:c r="Q115" s="16" t="str">
        <x:v>Browser-observed role-scoped route requests</x:v>
      </x:c>
      <x:c r="R115" s="16" t="str">
        <x:v>No failed request detected; exact endpoint-by-endpoint reconciliation remains a separate audit gap</x:v>
      </x:c>
      <x:c r="S115" s="16" t="str"/>
      <x:c r="T115" s="16" t="str"/>
      <x:c r="U115" s="16" t="str">
        <x:v>No database mutation executed by this route-load regression</x:v>
      </x:c>
      <x:c r="V115" s="16" t="str">
        <x:v>Not directly exercised in this route-load regression</x:v>
      </x:c>
      <x:c r="W115" s="16" t="str">
        <x:v>Not reconciled in this route-load regression</x:v>
      </x:c>
      <x:c r="X115" s="16" t="str"/>
      <x:c r="Y115" s="16" t="str">
        <x:v>Sentry API unavailable; runner detected no runtime exception or console error classified as high or medium</x:v>
      </x:c>
      <x:c r="Z115" s="16" t="str">
        <x:v>parent</x:v>
      </x:c>
      <x:c r="AA115" s="16" t="str">
        <x:v>parent mapped route flow passed</x:v>
      </x:c>
      <x:c r="AB115" s="16" t="str">
        <x:v>automated route pass; manual visual corpus tracked separately</x:v>
      </x:c>
      <x:c r="AC115" s="16" t="str">
        <x:v>configured actions passed where present; otherwise route-load only</x:v>
      </x:c>
      <x:c r="AD115" s="16" t="str">
        <x:v>no automated high or medium finding</x:v>
      </x:c>
      <x:c r="AE115" s="16" t="str">
        <x:v>0 product-text findings</x:v>
      </x:c>
      <x:c r="AF115" s="16" t="str">
        <x:v>0 product-text findings</x:v>
      </x:c>
      <x:c r="AG115" s="16" t="str">
        <x:v>Shared React Native surface passed responsive runtime; native interaction remains blocked by host DevToolsSecurity</x:v>
      </x:c>
      <x:c r="AH115" s="16" t="str">
        <x:v>football product route</x:v>
      </x:c>
      <x:c r="AI115" s="16" t="str">
        <x:v>390px viewport with 0 horizontal overflow</x:v>
      </x:c>
      <x:c r="AJ115" s="16" t="str">
        <x:v>0 nested buttons; native semantic tree and VoiceOver remain unverified</x:v>
      </x:c>
      <x:c r="AK115" s="16" t="str">
        <x:v>passed</x:v>
      </x:c>
      <x:c r="AL115" s="16" t="str"/>
      <x:c r="AM115" s="16" t="str">
        <x:v>reviews/ios-native-audit/runtime/2026-07-31/report.merged.json</x:v>
      </x:c>
      <x:c r="AN115" s="16" t="str"/>
      <x:c r="AO115" s="16" t="str">
        <x:v>chore(audit): reconcile responsive route evidence</x:v>
      </x:c>
      <x:c r="AP115" s="16" t="str">
        <x:v>1/1 fresh mapped flows passed on 2026-07-31</x:v>
      </x:c>
      <x:c r="AQ115" s="16" t="str">
        <x:v>Non-destructive responsive route evidence only; exact API request IDs database RLS audit-event and native checks remain explicit separate gaps</x:v>
      </x:c>
    </x:row>
    <x:row r="116" ht="48" customHeight="1">
      <x:c r="A116" s="18" t="str">
        <x:v>ROUTE-084</x:v>
      </x:c>
      <x:c r="B116" s="16" t="str">
        <x:v>parent_family</x:v>
      </x:c>
      <x:c r="C116" s="16" t="str">
        <x:v>Parent opens family dashboard</x:v>
      </x:c>
      <x:c r="D116" s="16" t="str">
        <x:v>parent</x:v>
      </x:c>
      <x:c r="E116" s="16" t="str">
        <x:v>app/family/index.tsx</x:v>
      </x:c>
      <x:c r="F116" s="16" t="str">
        <x:v>app/family/index.tsx</x:v>
      </x:c>
      <x:c r="G116" s="16" t="str">
        <x:v>responsive route load and configured non-mutating assertions</x:v>
      </x:c>
      <x:c r="H116" s="16" t="str">
        <x:v>iPhone 16 Pro responsive browser viewport</x:v>
      </x:c>
      <x:c r="I116" s="16" t="str">
        <x:v>local Expo web bundle backed by staging API</x:v>
      </x:c>
      <x:c r="J116" s="16" t="str">
        <x:v>/family</x:v>
      </x:c>
      <x:c r="K116" s="16" t="str">
        <x:v>Authenticated seeded role account and linked staging dataset</x:v>
      </x:c>
      <x:c r="L116" s="16" t="str">
        <x:v>1</x:v>
      </x:c>
      <x:c r="M116" s="16" t="str">
        <x:v>parent_family</x:v>
      </x:c>
      <x:c r="N116" s="16" t="str">
        <x:v>Navigate directly and execute the flow runner assertions without submitting a product mutation</x:v>
      </x:c>
      <x:c r="O116" s="16" t="str">
        <x:v>Resolve the intended route without a failed request runtime exception shared error state nested button horizontal overflow or product-text finding</x:v>
      </x:c>
      <x:c r="P116" s="16" t="str">
        <x:v>1/1 mapped flows returned status ok and severity none at 390px</x:v>
      </x:c>
      <x:c r="Q116" s="16" t="str">
        <x:v>Browser-observed role-scoped route requests</x:v>
      </x:c>
      <x:c r="R116" s="16" t="str">
        <x:v>No failed request detected; exact endpoint-by-endpoint reconciliation remains a separate audit gap</x:v>
      </x:c>
      <x:c r="S116" s="16" t="str"/>
      <x:c r="T116" s="16" t="str"/>
      <x:c r="U116" s="16" t="str">
        <x:v>No database mutation executed by this route-load regression</x:v>
      </x:c>
      <x:c r="V116" s="16" t="str">
        <x:v>Not directly exercised in this route-load regression</x:v>
      </x:c>
      <x:c r="W116" s="16" t="str">
        <x:v>Not reconciled in this route-load regression</x:v>
      </x:c>
      <x:c r="X116" s="16" t="str"/>
      <x:c r="Y116" s="16" t="str">
        <x:v>Sentry API unavailable; runner detected no runtime exception or console error classified as high or medium</x:v>
      </x:c>
      <x:c r="Z116" s="16" t="str">
        <x:v>parent</x:v>
      </x:c>
      <x:c r="AA116" s="16" t="str">
        <x:v>parent mapped route flow passed</x:v>
      </x:c>
      <x:c r="AB116" s="16" t="str">
        <x:v>automated route pass; manual visual corpus tracked separately</x:v>
      </x:c>
      <x:c r="AC116" s="16" t="str">
        <x:v>configured actions passed where present; otherwise route-load only</x:v>
      </x:c>
      <x:c r="AD116" s="16" t="str">
        <x:v>no automated high or medium finding</x:v>
      </x:c>
      <x:c r="AE116" s="16" t="str">
        <x:v>0 product-text findings</x:v>
      </x:c>
      <x:c r="AF116" s="16" t="str">
        <x:v>0 product-text findings</x:v>
      </x:c>
      <x:c r="AG116" s="16" t="str">
        <x:v>Shared React Native surface passed responsive runtime; native interaction remains blocked by host DevToolsSecurity</x:v>
      </x:c>
      <x:c r="AH116" s="16" t="str">
        <x:v>football product route</x:v>
      </x:c>
      <x:c r="AI116" s="16" t="str">
        <x:v>390px viewport with 0 horizontal overflow</x:v>
      </x:c>
      <x:c r="AJ116" s="16" t="str">
        <x:v>0 nested buttons; native semantic tree and VoiceOver remain unverified</x:v>
      </x:c>
      <x:c r="AK116" s="16" t="str">
        <x:v>passed</x:v>
      </x:c>
      <x:c r="AL116" s="16" t="str"/>
      <x:c r="AM116" s="16" t="str">
        <x:v>reviews/ios-native-audit/runtime/2026-07-31/report.merged.json</x:v>
      </x:c>
      <x:c r="AN116" s="16" t="str"/>
      <x:c r="AO116" s="16" t="str">
        <x:v>chore(audit): reconcile responsive route evidence</x:v>
      </x:c>
      <x:c r="AP116" s="16" t="str">
        <x:v>1/1 fresh mapped flows passed on 2026-07-31</x:v>
      </x:c>
      <x:c r="AQ116" s="16" t="str">
        <x:v>Non-destructive responsive route evidence only; exact API request IDs database RLS audit-event and native checks remain explicit separate gaps</x:v>
      </x:c>
    </x:row>
    <x:row r="117" ht="48" customHeight="1">
      <x:c r="A117" s="18" t="str">
        <x:v>ROUTE-085</x:v>
      </x:c>
      <x:c r="B117" s="16" t="str">
        <x:v>parent_family_recurring</x:v>
      </x:c>
      <x:c r="C117" s="16" t="str">
        <x:v>Parent opens recurring plans</x:v>
      </x:c>
      <x:c r="D117" s="16" t="str">
        <x:v>parent</x:v>
      </x:c>
      <x:c r="E117" s="16" t="str">
        <x:v>app/family/recurring.tsx</x:v>
      </x:c>
      <x:c r="F117" s="16" t="str">
        <x:v>app/family/recurring.tsx</x:v>
      </x:c>
      <x:c r="G117" s="16" t="str">
        <x:v>responsive route load and configured non-mutating assertions</x:v>
      </x:c>
      <x:c r="H117" s="16" t="str">
        <x:v>iPhone 16 Pro responsive browser viewport</x:v>
      </x:c>
      <x:c r="I117" s="16" t="str">
        <x:v>local Expo web bundle backed by staging API</x:v>
      </x:c>
      <x:c r="J117" s="16" t="str">
        <x:v>/family/recurring</x:v>
      </x:c>
      <x:c r="K117" s="16" t="str">
        <x:v>Authenticated seeded role account and linked staging dataset</x:v>
      </x:c>
      <x:c r="L117" s="16" t="str">
        <x:v>1</x:v>
      </x:c>
      <x:c r="M117" s="16" t="str">
        <x:v>parent_family_recurring</x:v>
      </x:c>
      <x:c r="N117" s="16" t="str">
        <x:v>Navigate directly and execute the flow runner assertions without submitting a product mutation</x:v>
      </x:c>
      <x:c r="O117" s="16" t="str">
        <x:v>Resolve the intended route without a failed request runtime exception shared error state nested button horizontal overflow or product-text finding</x:v>
      </x:c>
      <x:c r="P117" s="16" t="str">
        <x:v>1/1 mapped flows returned status ok and severity none at 390px</x:v>
      </x:c>
      <x:c r="Q117" s="16" t="str">
        <x:v>Browser-observed role-scoped route requests</x:v>
      </x:c>
      <x:c r="R117" s="16" t="str">
        <x:v>No failed request detected; exact endpoint-by-endpoint reconciliation remains a separate audit gap</x:v>
      </x:c>
      <x:c r="S117" s="16" t="str"/>
      <x:c r="T117" s="16" t="str"/>
      <x:c r="U117" s="16" t="str">
        <x:v>No database mutation executed by this route-load regression</x:v>
      </x:c>
      <x:c r="V117" s="16" t="str">
        <x:v>Not directly exercised in this route-load regression</x:v>
      </x:c>
      <x:c r="W117" s="16" t="str">
        <x:v>Not reconciled in this route-load regression</x:v>
      </x:c>
      <x:c r="X117" s="16" t="str"/>
      <x:c r="Y117" s="16" t="str">
        <x:v>Sentry API unavailable; runner detected no runtime exception or console error classified as high or medium</x:v>
      </x:c>
      <x:c r="Z117" s="16" t="str">
        <x:v>parent</x:v>
      </x:c>
      <x:c r="AA117" s="16" t="str">
        <x:v>parent mapped route flow passed</x:v>
      </x:c>
      <x:c r="AB117" s="16" t="str">
        <x:v>automated route pass; manual visual corpus tracked separately</x:v>
      </x:c>
      <x:c r="AC117" s="16" t="str">
        <x:v>configured actions passed where present; otherwise route-load only</x:v>
      </x:c>
      <x:c r="AD117" s="16" t="str">
        <x:v>no automated high or medium finding</x:v>
      </x:c>
      <x:c r="AE117" s="16" t="str">
        <x:v>0 product-text findings</x:v>
      </x:c>
      <x:c r="AF117" s="16" t="str">
        <x:v>0 product-text findings</x:v>
      </x:c>
      <x:c r="AG117" s="16" t="str">
        <x:v>Shared React Native surface passed responsive runtime; native interaction remains blocked by host DevToolsSecurity</x:v>
      </x:c>
      <x:c r="AH117" s="16" t="str">
        <x:v>football product route</x:v>
      </x:c>
      <x:c r="AI117" s="16" t="str">
        <x:v>390px viewport with 0 horizontal overflow</x:v>
      </x:c>
      <x:c r="AJ117" s="16" t="str">
        <x:v>0 nested buttons; native semantic tree and VoiceOver remain unverified</x:v>
      </x:c>
      <x:c r="AK117" s="16" t="str">
        <x:v>passed</x:v>
      </x:c>
      <x:c r="AL117" s="16" t="str"/>
      <x:c r="AM117" s="16" t="str">
        <x:v>reviews/ios-native-audit/runtime/2026-07-31/report.merged.json</x:v>
      </x:c>
      <x:c r="AN117" s="16" t="str"/>
      <x:c r="AO117" s="16" t="str">
        <x:v>chore(audit): reconcile responsive route evidence</x:v>
      </x:c>
      <x:c r="AP117" s="16" t="str">
        <x:v>1/1 fresh mapped flows passed on 2026-07-31</x:v>
      </x:c>
      <x:c r="AQ117" s="16" t="str">
        <x:v>Non-destructive responsive route evidence only; exact API request IDs database RLS audit-event and native checks remain explicit separate gaps</x:v>
      </x:c>
    </x:row>
    <x:row r="118" ht="48" customHeight="1">
      <x:c r="A118" s="18" t="str">
        <x:v>ROUTE-086</x:v>
      </x:c>
      <x:c r="B118" s="16" t="str">
        <x:v>ROUTE-INVENTORY</x:v>
      </x:c>
      <x:c r="C118" s="16" t="str">
        <x:v>Reachable route coverage</x:v>
      </x:c>
      <x:c r="D118" s="16" t="str">
        <x:v>to classify</x:v>
      </x:c>
      <x:c r="E118" s="16" t="str">
        <x:v>app/family/sharing.tsx</x:v>
      </x:c>
      <x:c r="F118" s="16" t="str">
        <x:v>app/family/sharing.tsx</x:v>
      </x:c>
      <x:c r="G118" s="16" t="str">
        <x:v>inventory</x:v>
      </x:c>
      <x:c r="H118" s="16" t="str"/>
      <x:c r="I118" s="16" t="str">
        <x:v>staging</x:v>
      </x:c>
      <x:c r="J118" s="16" t="str"/>
      <x:c r="K118" s="16" t="str"/>
      <x:c r="L118" s="16" t="str"/>
      <x:c r="M118" s="16" t="str"/>
      <x:c r="N118" s="16" t="str"/>
      <x:c r="O118" s="16" t="str"/>
      <x:c r="P118" s="16" t="str"/>
      <x:c r="Q118" s="16" t="str"/>
      <x:c r="R118" s="16" t="str"/>
      <x:c r="S118" s="16" t="str"/>
      <x:c r="T118" s="16" t="str"/>
      <x:c r="U118" s="16" t="str"/>
      <x:c r="V118" s="16" t="str"/>
      <x:c r="W118" s="16" t="str"/>
      <x:c r="X118" s="16" t="str"/>
      <x:c r="Y118" s="16" t="str"/>
      <x:c r="Z118" s="16" t="str"/>
      <x:c r="AA118" s="16" t="str"/>
      <x:c r="AB118" s="16" t="str"/>
      <x:c r="AC118" s="16" t="str"/>
      <x:c r="AD118" s="16" t="str"/>
      <x:c r="AE118" s="16" t="str"/>
      <x:c r="AF118" s="16" t="str"/>
      <x:c r="AG118" s="16" t="str"/>
      <x:c r="AH118" s="16" t="str"/>
      <x:c r="AI118" s="16" t="str"/>
      <x:c r="AJ118" s="16" t="str"/>
      <x:c r="AK118" s="16" t="str">
        <x:v>pending</x:v>
      </x:c>
      <x:c r="AL118" s="16" t="str"/>
      <x:c r="AM118" s="16" t="str"/>
      <x:c r="AN118" s="16" t="str"/>
      <x:c r="AO118" s="16" t="str"/>
      <x:c r="AP118" s="16" t="str">
        <x:v>pending</x:v>
      </x:c>
      <x:c r="AQ118" s="16" t="str">
        <x:v>Discovered from executable Expo Router tree; runtime coverage pending</x:v>
      </x:c>
    </x:row>
    <x:row r="119" ht="48" customHeight="1">
      <x:c r="A119" s="18" t="str">
        <x:v>ROUTE-087</x:v>
      </x:c>
      <x:c r="B119" s="16" t="str">
        <x:v>parent_favourites | athlete_favourites</x:v>
      </x:c>
      <x:c r="C119" s="16" t="str">
        <x:v>Parent opens favourites | Athlete opens favourites</x:v>
      </x:c>
      <x:c r="D119" s="16" t="str">
        <x:v>parent athlete</x:v>
      </x:c>
      <x:c r="E119" s="16" t="str">
        <x:v>app/favourites/index.tsx</x:v>
      </x:c>
      <x:c r="F119" s="16" t="str">
        <x:v>app/favourites/index.tsx</x:v>
      </x:c>
      <x:c r="G119" s="16" t="str">
        <x:v>responsive route load and configured non-mutating assertions</x:v>
      </x:c>
      <x:c r="H119" s="16" t="str">
        <x:v>iPhone 16 Pro responsive browser viewport</x:v>
      </x:c>
      <x:c r="I119" s="16" t="str">
        <x:v>local Expo web bundle backed by staging API</x:v>
      </x:c>
      <x:c r="J119" s="16" t="str">
        <x:v>/favourites</x:v>
      </x:c>
      <x:c r="K119" s="16" t="str">
        <x:v>Authenticated seeded role account and linked staging dataset</x:v>
      </x:c>
      <x:c r="L119" s="16" t="str">
        <x:v>1</x:v>
      </x:c>
      <x:c r="M119" s="16" t="str">
        <x:v>parent_favourites | athlete_favourites</x:v>
      </x:c>
      <x:c r="N119" s="16" t="str">
        <x:v>Navigate directly and execute the flow runner assertions without submitting a product mutation</x:v>
      </x:c>
      <x:c r="O119" s="16" t="str">
        <x:v>Resolve the intended route without a failed request runtime exception shared error state nested button horizontal overflow or product-text finding</x:v>
      </x:c>
      <x:c r="P119" s="16" t="str">
        <x:v>2/2 mapped flows returned status ok and severity none at 390px</x:v>
      </x:c>
      <x:c r="Q119" s="16" t="str">
        <x:v>Browser-observed role-scoped route requests</x:v>
      </x:c>
      <x:c r="R119" s="16" t="str">
        <x:v>No failed request detected; exact endpoint-by-endpoint reconciliation remains a separate audit gap</x:v>
      </x:c>
      <x:c r="S119" s="16" t="str"/>
      <x:c r="T119" s="16" t="str"/>
      <x:c r="U119" s="16" t="str">
        <x:v>No database mutation executed by this route-load regression</x:v>
      </x:c>
      <x:c r="V119" s="16" t="str">
        <x:v>Not directly exercised in this route-load regression</x:v>
      </x:c>
      <x:c r="W119" s="16" t="str">
        <x:v>Not reconciled in this route-load regression</x:v>
      </x:c>
      <x:c r="X119" s="16" t="str"/>
      <x:c r="Y119" s="16" t="str">
        <x:v>Sentry API unavailable; runner detected no runtime exception or console error classified as high or medium</x:v>
      </x:c>
      <x:c r="Z119" s="16" t="str">
        <x:v>parent athlete</x:v>
      </x:c>
      <x:c r="AA119" s="16" t="str">
        <x:v>parent, athlete mapped route flows passed</x:v>
      </x:c>
      <x:c r="AB119" s="16" t="str">
        <x:v>automated route pass; manual visual corpus tracked separately</x:v>
      </x:c>
      <x:c r="AC119" s="16" t="str">
        <x:v>configured actions passed where present; otherwise route-load only</x:v>
      </x:c>
      <x:c r="AD119" s="16" t="str">
        <x:v>no automated high or medium finding</x:v>
      </x:c>
      <x:c r="AE119" s="16" t="str">
        <x:v>0 product-text findings</x:v>
      </x:c>
      <x:c r="AF119" s="16" t="str">
        <x:v>0 product-text findings</x:v>
      </x:c>
      <x:c r="AG119" s="16" t="str">
        <x:v>Shared React Native surface passed responsive runtime; native interaction remains blocked by host DevToolsSecurity</x:v>
      </x:c>
      <x:c r="AH119" s="16" t="str">
        <x:v>football product route</x:v>
      </x:c>
      <x:c r="AI119" s="16" t="str">
        <x:v>390px viewport with 0 horizontal overflow</x:v>
      </x:c>
      <x:c r="AJ119" s="16" t="str">
        <x:v>0 nested buttons; native semantic tree and VoiceOver remain unverified</x:v>
      </x:c>
      <x:c r="AK119" s="16" t="str">
        <x:v>passed</x:v>
      </x:c>
      <x:c r="AL119" s="16" t="str"/>
      <x:c r="AM119" s="16" t="str">
        <x:v>reviews/ios-native-audit/runtime/2026-07-31/report.merged.json</x:v>
      </x:c>
      <x:c r="AN119" s="16" t="str"/>
      <x:c r="AO119" s="16" t="str">
        <x:v>chore(audit): reconcile responsive route evidence</x:v>
      </x:c>
      <x:c r="AP119" s="16" t="str">
        <x:v>2/2 fresh mapped flows passed on 2026-07-31</x:v>
      </x:c>
      <x:c r="AQ119" s="16" t="str">
        <x:v>Non-destructive responsive route evidence only; exact API request IDs database RLS audit-event and native checks remain explicit separate gaps</x:v>
      </x:c>
    </x:row>
    <x:row r="120" ht="48" customHeight="1">
      <x:c r="A120" s="18" t="str">
        <x:v>ROUTE-088</x:v>
      </x:c>
      <x:c r="B120" s="16" t="str">
        <x:v>ROUTE-INVENTORY</x:v>
      </x:c>
      <x:c r="C120" s="16" t="str">
        <x:v>Reachable route coverage</x:v>
      </x:c>
      <x:c r="D120" s="16" t="str">
        <x:v>to classify</x:v>
      </x:c>
      <x:c r="E120" s="16" t="str">
        <x:v>app/group-sessions/[id].tsx</x:v>
      </x:c>
      <x:c r="F120" s="16" t="str">
        <x:v>app/group-sessions/[id].tsx</x:v>
      </x:c>
      <x:c r="G120" s="16" t="str">
        <x:v>inventory</x:v>
      </x:c>
      <x:c r="H120" s="16" t="str"/>
      <x:c r="I120" s="16" t="str">
        <x:v>staging</x:v>
      </x:c>
      <x:c r="J120" s="16" t="str"/>
      <x:c r="K120" s="16" t="str"/>
      <x:c r="L120" s="16" t="str"/>
      <x:c r="M120" s="16" t="str"/>
      <x:c r="N120" s="16" t="str"/>
      <x:c r="O120" s="16" t="str"/>
      <x:c r="P120" s="16" t="str"/>
      <x:c r="Q120" s="16" t="str"/>
      <x:c r="R120" s="16" t="str"/>
      <x:c r="S120" s="16" t="str"/>
      <x:c r="T120" s="16" t="str"/>
      <x:c r="U120" s="16" t="str"/>
      <x:c r="V120" s="16" t="str"/>
      <x:c r="W120" s="16" t="str"/>
      <x:c r="X120" s="16" t="str"/>
      <x:c r="Y120" s="16" t="str"/>
      <x:c r="Z120" s="16" t="str"/>
      <x:c r="AA120" s="16" t="str"/>
      <x:c r="AB120" s="16" t="str"/>
      <x:c r="AC120" s="16" t="str"/>
      <x:c r="AD120" s="16" t="str"/>
      <x:c r="AE120" s="16" t="str"/>
      <x:c r="AF120" s="16" t="str"/>
      <x:c r="AG120" s="16" t="str"/>
      <x:c r="AH120" s="16" t="str"/>
      <x:c r="AI120" s="16" t="str"/>
      <x:c r="AJ120" s="16" t="str"/>
      <x:c r="AK120" s="16" t="str">
        <x:v>pending</x:v>
      </x:c>
      <x:c r="AL120" s="16" t="str"/>
      <x:c r="AM120" s="16" t="str"/>
      <x:c r="AN120" s="16" t="str"/>
      <x:c r="AO120" s="16" t="str"/>
      <x:c r="AP120" s="16" t="str">
        <x:v>pending</x:v>
      </x:c>
      <x:c r="AQ120" s="16" t="str">
        <x:v>Discovered from executable Expo Router tree; runtime coverage pending</x:v>
      </x:c>
    </x:row>
    <x:row r="121" ht="48" customHeight="1">
      <x:c r="A121" s="18" t="str">
        <x:v>ROUTE-089</x:v>
      </x:c>
      <x:c r="B121" s="16" t="str">
        <x:v>ROUTE-INVENTORY</x:v>
      </x:c>
      <x:c r="C121" s="16" t="str">
        <x:v>Reachable route coverage</x:v>
      </x:c>
      <x:c r="D121" s="16" t="str">
        <x:v>to classify</x:v>
      </x:c>
      <x:c r="E121" s="16" t="str">
        <x:v>app/group-sessions/[id]/roster.tsx</x:v>
      </x:c>
      <x:c r="F121" s="16" t="str">
        <x:v>app/group-sessions/[id]/roster.tsx</x:v>
      </x:c>
      <x:c r="G121" s="16" t="str">
        <x:v>inventory</x:v>
      </x:c>
      <x:c r="H121" s="16" t="str"/>
      <x:c r="I121" s="16" t="str">
        <x:v>staging</x:v>
      </x:c>
      <x:c r="J121" s="16" t="str"/>
      <x:c r="K121" s="16" t="str"/>
      <x:c r="L121" s="16" t="str"/>
      <x:c r="M121" s="16" t="str"/>
      <x:c r="N121" s="16" t="str"/>
      <x:c r="O121" s="16" t="str"/>
      <x:c r="P121" s="16" t="str"/>
      <x:c r="Q121" s="16" t="str"/>
      <x:c r="R121" s="16" t="str"/>
      <x:c r="S121" s="16" t="str"/>
      <x:c r="T121" s="16" t="str"/>
      <x:c r="U121" s="16" t="str"/>
      <x:c r="V121" s="16" t="str"/>
      <x:c r="W121" s="16" t="str"/>
      <x:c r="X121" s="16" t="str"/>
      <x:c r="Y121" s="16" t="str"/>
      <x:c r="Z121" s="16" t="str"/>
      <x:c r="AA121" s="16" t="str"/>
      <x:c r="AB121" s="16" t="str"/>
      <x:c r="AC121" s="16" t="str"/>
      <x:c r="AD121" s="16" t="str"/>
      <x:c r="AE121" s="16" t="str"/>
      <x:c r="AF121" s="16" t="str"/>
      <x:c r="AG121" s="16" t="str"/>
      <x:c r="AH121" s="16" t="str"/>
      <x:c r="AI121" s="16" t="str"/>
      <x:c r="AJ121" s="16" t="str"/>
      <x:c r="AK121" s="16" t="str">
        <x:v>pending</x:v>
      </x:c>
      <x:c r="AL121" s="16" t="str"/>
      <x:c r="AM121" s="16" t="str"/>
      <x:c r="AN121" s="16" t="str"/>
      <x:c r="AO121" s="16" t="str"/>
      <x:c r="AP121" s="16" t="str">
        <x:v>pending</x:v>
      </x:c>
      <x:c r="AQ121" s="16" t="str">
        <x:v>Discovered from executable Expo Router tree; runtime coverage pending</x:v>
      </x:c>
    </x:row>
    <x:row r="122" ht="48" customHeight="1">
      <x:c r="A122" s="18" t="str">
        <x:v>ROUTE-090</x:v>
      </x:c>
      <x:c r="B122" s="16" t="str">
        <x:v>coach_group_sessions_create</x:v>
      </x:c>
      <x:c r="C122" s="16" t="str">
        <x:v>Coach opens create group session</x:v>
      </x:c>
      <x:c r="D122" s="16" t="str">
        <x:v>coach</x:v>
      </x:c>
      <x:c r="E122" s="16" t="str">
        <x:v>app/group-sessions/create.tsx</x:v>
      </x:c>
      <x:c r="F122" s="16" t="str">
        <x:v>app/group-sessions/create.tsx</x:v>
      </x:c>
      <x:c r="G122" s="16" t="str">
        <x:v>responsive route load and configured non-mutating assertions</x:v>
      </x:c>
      <x:c r="H122" s="16" t="str">
        <x:v>iPhone 16 Pro responsive browser viewport</x:v>
      </x:c>
      <x:c r="I122" s="16" t="str">
        <x:v>local Expo web bundle backed by staging API</x:v>
      </x:c>
      <x:c r="J122" s="16" t="str">
        <x:v>/group-sessions/create</x:v>
      </x:c>
      <x:c r="K122" s="16" t="str">
        <x:v>Authenticated seeded role account and linked staging dataset</x:v>
      </x:c>
      <x:c r="L122" s="16" t="str">
        <x:v>1</x:v>
      </x:c>
      <x:c r="M122" s="16" t="str">
        <x:v>coach_group_sessions_create</x:v>
      </x:c>
      <x:c r="N122" s="16" t="str">
        <x:v>Navigate directly and execute the flow runner assertions without submitting a product mutation</x:v>
      </x:c>
      <x:c r="O122" s="16" t="str">
        <x:v>Resolve the intended route without a failed request runtime exception shared error state nested button horizontal overflow or product-text finding</x:v>
      </x:c>
      <x:c r="P122" s="16" t="str">
        <x:v>1/1 mapped flows returned status ok and severity none at 390px</x:v>
      </x:c>
      <x:c r="Q122" s="16" t="str">
        <x:v>Browser-observed role-scoped route requests</x:v>
      </x:c>
      <x:c r="R122" s="16" t="str">
        <x:v>No failed request detected; exact endpoint-by-endpoint reconciliation remains a separate audit gap</x:v>
      </x:c>
      <x:c r="S122" s="16" t="str"/>
      <x:c r="T122" s="16" t="str"/>
      <x:c r="U122" s="16" t="str">
        <x:v>No database mutation executed by this route-load regression</x:v>
      </x:c>
      <x:c r="V122" s="16" t="str">
        <x:v>Not directly exercised in this route-load regression</x:v>
      </x:c>
      <x:c r="W122" s="16" t="str">
        <x:v>Not reconciled in this route-load regression</x:v>
      </x:c>
      <x:c r="X122" s="16" t="str"/>
      <x:c r="Y122" s="16" t="str">
        <x:v>Sentry API unavailable; runner detected no runtime exception or console error classified as high or medium</x:v>
      </x:c>
      <x:c r="Z122" s="16" t="str">
        <x:v>coach</x:v>
      </x:c>
      <x:c r="AA122" s="16" t="str">
        <x:v>coach mapped route flow passed</x:v>
      </x:c>
      <x:c r="AB122" s="16" t="str">
        <x:v>automated route pass; manual visual corpus tracked separately</x:v>
      </x:c>
      <x:c r="AC122" s="16" t="str">
        <x:v>configured actions passed where present; otherwise route-load only</x:v>
      </x:c>
      <x:c r="AD122" s="16" t="str">
        <x:v>no automated high or medium finding</x:v>
      </x:c>
      <x:c r="AE122" s="16" t="str">
        <x:v>0 product-text findings</x:v>
      </x:c>
      <x:c r="AF122" s="16" t="str">
        <x:v>0 product-text findings</x:v>
      </x:c>
      <x:c r="AG122" s="16" t="str">
        <x:v>Shared React Native surface passed responsive runtime; native interaction remains blocked by host DevToolsSecurity</x:v>
      </x:c>
      <x:c r="AH122" s="16" t="str">
        <x:v>football product route</x:v>
      </x:c>
      <x:c r="AI122" s="16" t="str">
        <x:v>390px viewport with 0 horizontal overflow</x:v>
      </x:c>
      <x:c r="AJ122" s="16" t="str">
        <x:v>0 nested buttons; native semantic tree and VoiceOver remain unverified</x:v>
      </x:c>
      <x:c r="AK122" s="16" t="str">
        <x:v>passed</x:v>
      </x:c>
      <x:c r="AL122" s="16" t="str"/>
      <x:c r="AM122" s="16" t="str">
        <x:v>reviews/ios-native-audit/runtime/2026-07-31/report.merged.json</x:v>
      </x:c>
      <x:c r="AN122" s="16" t="str"/>
      <x:c r="AO122" s="16" t="str">
        <x:v>chore(audit): reconcile responsive route evidence</x:v>
      </x:c>
      <x:c r="AP122" s="16" t="str">
        <x:v>1/1 fresh mapped flows passed on 2026-07-31</x:v>
      </x:c>
      <x:c r="AQ122" s="16" t="str">
        <x:v>Non-destructive responsive route evidence only; exact API request IDs database RLS audit-event and native checks remain explicit separate gaps</x:v>
      </x:c>
    </x:row>
    <x:row r="123" ht="48" customHeight="1">
      <x:c r="A123" s="18" t="str">
        <x:v>ROUTE-091</x:v>
      </x:c>
      <x:c r="B123" s="16" t="str">
        <x:v>coach_group_sessions</x:v>
      </x:c>
      <x:c r="C123" s="16" t="str">
        <x:v>Coach opens group sessions</x:v>
      </x:c>
      <x:c r="D123" s="16" t="str">
        <x:v>coach</x:v>
      </x:c>
      <x:c r="E123" s="16" t="str">
        <x:v>app/group-sessions/index.tsx</x:v>
      </x:c>
      <x:c r="F123" s="16" t="str">
        <x:v>app/group-sessions/index.tsx</x:v>
      </x:c>
      <x:c r="G123" s="16" t="str">
        <x:v>responsive route load and configured non-mutating assertions</x:v>
      </x:c>
      <x:c r="H123" s="16" t="str">
        <x:v>iPhone 16 Pro responsive browser viewport</x:v>
      </x:c>
      <x:c r="I123" s="16" t="str">
        <x:v>local Expo web bundle backed by staging API</x:v>
      </x:c>
      <x:c r="J123" s="16" t="str">
        <x:v>/group-sessions</x:v>
      </x:c>
      <x:c r="K123" s="16" t="str">
        <x:v>Authenticated seeded role account and linked staging dataset</x:v>
      </x:c>
      <x:c r="L123" s="16" t="str">
        <x:v>1</x:v>
      </x:c>
      <x:c r="M123" s="16" t="str">
        <x:v>coach_group_sessions</x:v>
      </x:c>
      <x:c r="N123" s="16" t="str">
        <x:v>Navigate directly and execute the flow runner assertions without submitting a product mutation</x:v>
      </x:c>
      <x:c r="O123" s="16" t="str">
        <x:v>Resolve the intended route without a failed request runtime exception shared error state nested button horizontal overflow or product-text finding</x:v>
      </x:c>
      <x:c r="P123" s="16" t="str">
        <x:v>1/1 mapped flows returned status ok and severity none at 390px</x:v>
      </x:c>
      <x:c r="Q123" s="16" t="str">
        <x:v>Browser-observed role-scoped route requests</x:v>
      </x:c>
      <x:c r="R123" s="16" t="str">
        <x:v>No failed request detected; exact endpoint-by-endpoint reconciliation remains a separate audit gap</x:v>
      </x:c>
      <x:c r="S123" s="16" t="str"/>
      <x:c r="T123" s="16" t="str"/>
      <x:c r="U123" s="16" t="str">
        <x:v>No database mutation executed by this route-load regression</x:v>
      </x:c>
      <x:c r="V123" s="16" t="str">
        <x:v>Not directly exercised in this route-load regression</x:v>
      </x:c>
      <x:c r="W123" s="16" t="str">
        <x:v>Not reconciled in this route-load regression</x:v>
      </x:c>
      <x:c r="X123" s="16" t="str"/>
      <x:c r="Y123" s="16" t="str">
        <x:v>Sentry API unavailable; runner detected no runtime exception or console error classified as high or medium</x:v>
      </x:c>
      <x:c r="Z123" s="16" t="str">
        <x:v>coach</x:v>
      </x:c>
      <x:c r="AA123" s="16" t="str">
        <x:v>coach mapped route flow passed</x:v>
      </x:c>
      <x:c r="AB123" s="16" t="str">
        <x:v>automated route pass; manual visual corpus tracked separately</x:v>
      </x:c>
      <x:c r="AC123" s="16" t="str">
        <x:v>configured actions passed where present; otherwise route-load only</x:v>
      </x:c>
      <x:c r="AD123" s="16" t="str">
        <x:v>no automated high or medium finding</x:v>
      </x:c>
      <x:c r="AE123" s="16" t="str">
        <x:v>0 product-text findings</x:v>
      </x:c>
      <x:c r="AF123" s="16" t="str">
        <x:v>0 product-text findings</x:v>
      </x:c>
      <x:c r="AG123" s="16" t="str">
        <x:v>Shared React Native surface passed responsive runtime; native interaction remains blocked by host DevToolsSecurity</x:v>
      </x:c>
      <x:c r="AH123" s="16" t="str">
        <x:v>football product route</x:v>
      </x:c>
      <x:c r="AI123" s="16" t="str">
        <x:v>390px viewport with 0 horizontal overflow</x:v>
      </x:c>
      <x:c r="AJ123" s="16" t="str">
        <x:v>0 nested buttons; native semantic tree and VoiceOver remain unverified</x:v>
      </x:c>
      <x:c r="AK123" s="16" t="str">
        <x:v>passed</x:v>
      </x:c>
      <x:c r="AL123" s="16" t="str"/>
      <x:c r="AM123" s="16" t="str">
        <x:v>reviews/ios-native-audit/runtime/2026-07-31/report.merged.json</x:v>
      </x:c>
      <x:c r="AN123" s="16" t="str"/>
      <x:c r="AO123" s="16" t="str">
        <x:v>chore(audit): reconcile responsive route evidence</x:v>
      </x:c>
      <x:c r="AP123" s="16" t="str">
        <x:v>1/1 fresh mapped flows passed on 2026-07-31</x:v>
      </x:c>
      <x:c r="AQ123" s="16" t="str">
        <x:v>Non-destructive responsive route evidence only; exact API request IDs database RLS audit-event and native checks remain explicit separate gaps</x:v>
      </x:c>
    </x:row>
    <x:row r="124" ht="48" customHeight="1">
      <x:c r="A124" s="18" t="str">
        <x:v>ROUTE-092</x:v>
      </x:c>
      <x:c r="B124" s="16" t="str">
        <x:v>ROUTE-INVENTORY</x:v>
      </x:c>
      <x:c r="C124" s="16" t="str">
        <x:v>Reachable route coverage</x:v>
      </x:c>
      <x:c r="D124" s="16" t="str">
        <x:v>to classify</x:v>
      </x:c>
      <x:c r="E124" s="16" t="str">
        <x:v>app/health/[id].tsx</x:v>
      </x:c>
      <x:c r="F124" s="16" t="str">
        <x:v>app/health/[id].tsx</x:v>
      </x:c>
      <x:c r="G124" s="16" t="str">
        <x:v>inventory</x:v>
      </x:c>
      <x:c r="H124" s="16" t="str"/>
      <x:c r="I124" s="16" t="str">
        <x:v>staging</x:v>
      </x:c>
      <x:c r="J124" s="16" t="str"/>
      <x:c r="K124" s="16" t="str"/>
      <x:c r="L124" s="16" t="str"/>
      <x:c r="M124" s="16" t="str"/>
      <x:c r="N124" s="16" t="str"/>
      <x:c r="O124" s="16" t="str"/>
      <x:c r="P124" s="16" t="str"/>
      <x:c r="Q124" s="16" t="str"/>
      <x:c r="R124" s="16" t="str"/>
      <x:c r="S124" s="16" t="str"/>
      <x:c r="T124" s="16" t="str"/>
      <x:c r="U124" s="16" t="str"/>
      <x:c r="V124" s="16" t="str"/>
      <x:c r="W124" s="16" t="str"/>
      <x:c r="X124" s="16" t="str"/>
      <x:c r="Y124" s="16" t="str"/>
      <x:c r="Z124" s="16" t="str"/>
      <x:c r="AA124" s="16" t="str"/>
      <x:c r="AB124" s="16" t="str"/>
      <x:c r="AC124" s="16" t="str"/>
      <x:c r="AD124" s="16" t="str"/>
      <x:c r="AE124" s="16" t="str"/>
      <x:c r="AF124" s="16" t="str"/>
      <x:c r="AG124" s="16" t="str"/>
      <x:c r="AH124" s="16" t="str"/>
      <x:c r="AI124" s="16" t="str"/>
      <x:c r="AJ124" s="16" t="str"/>
      <x:c r="AK124" s="16" t="str">
        <x:v>pending</x:v>
      </x:c>
      <x:c r="AL124" s="16" t="str"/>
      <x:c r="AM124" s="16" t="str"/>
      <x:c r="AN124" s="16" t="str"/>
      <x:c r="AO124" s="16" t="str"/>
      <x:c r="AP124" s="16" t="str">
        <x:v>pending</x:v>
      </x:c>
      <x:c r="AQ124" s="16" t="str">
        <x:v>Discovered from executable Expo Router tree; runtime coverage pending</x:v>
      </x:c>
    </x:row>
    <x:row r="125" ht="48" customHeight="1">
      <x:c r="A125" s="18" t="str">
        <x:v>ROUTE-093</x:v>
      </x:c>
      <x:c r="B125" s="16" t="str">
        <x:v>athlete_health</x:v>
      </x:c>
      <x:c r="C125" s="16" t="str">
        <x:v>Athlete opens health dashboard</x:v>
      </x:c>
      <x:c r="D125" s="16" t="str">
        <x:v>athlete</x:v>
      </x:c>
      <x:c r="E125" s="16" t="str">
        <x:v>app/health/index.tsx</x:v>
      </x:c>
      <x:c r="F125" s="16" t="str">
        <x:v>app/health/index.tsx</x:v>
      </x:c>
      <x:c r="G125" s="16" t="str">
        <x:v>responsive route load and configured non-mutating assertions</x:v>
      </x:c>
      <x:c r="H125" s="16" t="str">
        <x:v>iPhone 16 Pro responsive browser viewport</x:v>
      </x:c>
      <x:c r="I125" s="16" t="str">
        <x:v>local Expo web bundle backed by staging API</x:v>
      </x:c>
      <x:c r="J125" s="16" t="str">
        <x:v>/health</x:v>
      </x:c>
      <x:c r="K125" s="16" t="str">
        <x:v>Authenticated seeded role account and linked staging dataset</x:v>
      </x:c>
      <x:c r="L125" s="16" t="str">
        <x:v>1</x:v>
      </x:c>
      <x:c r="M125" s="16" t="str">
        <x:v>athlete_health</x:v>
      </x:c>
      <x:c r="N125" s="16" t="str">
        <x:v>Navigate directly and execute the flow runner assertions without submitting a product mutation</x:v>
      </x:c>
      <x:c r="O125" s="16" t="str">
        <x:v>Resolve the intended route without a failed request runtime exception shared error state nested button horizontal overflow or product-text finding</x:v>
      </x:c>
      <x:c r="P125" s="16" t="str">
        <x:v>1/1 mapped flows returned status ok and severity none at 390px</x:v>
      </x:c>
      <x:c r="Q125" s="16" t="str">
        <x:v>Browser-observed role-scoped route requests</x:v>
      </x:c>
      <x:c r="R125" s="16" t="str">
        <x:v>No failed request detected; exact endpoint-by-endpoint reconciliation remains a separate audit gap</x:v>
      </x:c>
      <x:c r="S125" s="16" t="str"/>
      <x:c r="T125" s="16" t="str"/>
      <x:c r="U125" s="16" t="str">
        <x:v>No database mutation executed by this route-load regression</x:v>
      </x:c>
      <x:c r="V125" s="16" t="str">
        <x:v>Not directly exercised in this route-load regression</x:v>
      </x:c>
      <x:c r="W125" s="16" t="str">
        <x:v>Not reconciled in this route-load regression</x:v>
      </x:c>
      <x:c r="X125" s="16" t="str"/>
      <x:c r="Y125" s="16" t="str">
        <x:v>Sentry API unavailable; runner detected no runtime exception or console error classified as high or medium</x:v>
      </x:c>
      <x:c r="Z125" s="16" t="str">
        <x:v>athlete</x:v>
      </x:c>
      <x:c r="AA125" s="16" t="str">
        <x:v>athlete mapped route flow passed</x:v>
      </x:c>
      <x:c r="AB125" s="16" t="str">
        <x:v>automated route pass; manual visual corpus tracked separately</x:v>
      </x:c>
      <x:c r="AC125" s="16" t="str">
        <x:v>configured actions passed where present; otherwise route-load only</x:v>
      </x:c>
      <x:c r="AD125" s="16" t="str">
        <x:v>no automated high or medium finding</x:v>
      </x:c>
      <x:c r="AE125" s="16" t="str">
        <x:v>0 product-text findings</x:v>
      </x:c>
      <x:c r="AF125" s="16" t="str">
        <x:v>0 product-text findings</x:v>
      </x:c>
      <x:c r="AG125" s="16" t="str">
        <x:v>Shared React Native surface passed responsive runtime; native interaction remains blocked by host DevToolsSecurity</x:v>
      </x:c>
      <x:c r="AH125" s="16" t="str">
        <x:v>football product route</x:v>
      </x:c>
      <x:c r="AI125" s="16" t="str">
        <x:v>390px viewport with 0 horizontal overflow</x:v>
      </x:c>
      <x:c r="AJ125" s="16" t="str">
        <x:v>0 nested buttons; native semantic tree and VoiceOver remain unverified</x:v>
      </x:c>
      <x:c r="AK125" s="16" t="str">
        <x:v>passed</x:v>
      </x:c>
      <x:c r="AL125" s="16" t="str"/>
      <x:c r="AM125" s="16" t="str">
        <x:v>reviews/ios-native-audit/runtime/2026-07-31/report.merged.json</x:v>
      </x:c>
      <x:c r="AN125" s="16" t="str"/>
      <x:c r="AO125" s="16" t="str">
        <x:v>chore(audit): reconcile responsive route evidence</x:v>
      </x:c>
      <x:c r="AP125" s="16" t="str">
        <x:v>1/1 fresh mapped flows passed on 2026-07-31</x:v>
      </x:c>
      <x:c r="AQ125" s="16" t="str">
        <x:v>Non-destructive responsive route evidence only; exact API request IDs database RLS audit-event and native checks remain explicit separate gaps</x:v>
      </x:c>
    </x:row>
    <x:row r="126" ht="48" customHeight="1">
      <x:c r="A126" s="18" t="str">
        <x:v>ROUTE-094</x:v>
      </x:c>
      <x:c r="B126" s="16" t="str">
        <x:v>athlete_health_injuries</x:v>
      </x:c>
      <x:c r="C126" s="16" t="str">
        <x:v>Athlete opens injury log</x:v>
      </x:c>
      <x:c r="D126" s="16" t="str">
        <x:v>athlete</x:v>
      </x:c>
      <x:c r="E126" s="16" t="str">
        <x:v>app/health/injuries.tsx</x:v>
      </x:c>
      <x:c r="F126" s="16" t="str">
        <x:v>app/health/injuries.tsx</x:v>
      </x:c>
      <x:c r="G126" s="16" t="str">
        <x:v>responsive route load and configured non-mutating assertions</x:v>
      </x:c>
      <x:c r="H126" s="16" t="str">
        <x:v>iPhone 16 Pro responsive browser viewport</x:v>
      </x:c>
      <x:c r="I126" s="16" t="str">
        <x:v>local Expo web bundle backed by staging API</x:v>
      </x:c>
      <x:c r="J126" s="16" t="str">
        <x:v>/health/injuries</x:v>
      </x:c>
      <x:c r="K126" s="16" t="str">
        <x:v>Authenticated seeded role account and linked staging dataset</x:v>
      </x:c>
      <x:c r="L126" s="16" t="str">
        <x:v>1</x:v>
      </x:c>
      <x:c r="M126" s="16" t="str">
        <x:v>athlete_health_injuries</x:v>
      </x:c>
      <x:c r="N126" s="16" t="str">
        <x:v>Navigate directly and execute the flow runner assertions without submitting a product mutation</x:v>
      </x:c>
      <x:c r="O126" s="16" t="str">
        <x:v>Resolve the intended route without a failed request runtime exception shared error state nested button horizontal overflow or product-text finding</x:v>
      </x:c>
      <x:c r="P126" s="16" t="str">
        <x:v>1/1 mapped flows returned status ok and severity none at 390px</x:v>
      </x:c>
      <x:c r="Q126" s="16" t="str">
        <x:v>Browser-observed role-scoped route requests</x:v>
      </x:c>
      <x:c r="R126" s="16" t="str">
        <x:v>No failed request detected; exact endpoint-by-endpoint reconciliation remains a separate audit gap</x:v>
      </x:c>
      <x:c r="S126" s="16" t="str"/>
      <x:c r="T126" s="16" t="str"/>
      <x:c r="U126" s="16" t="str">
        <x:v>No database mutation executed by this route-load regression</x:v>
      </x:c>
      <x:c r="V126" s="16" t="str">
        <x:v>Not directly exercised in this route-load regression</x:v>
      </x:c>
      <x:c r="W126" s="16" t="str">
        <x:v>Not reconciled in this route-load regression</x:v>
      </x:c>
      <x:c r="X126" s="16" t="str"/>
      <x:c r="Y126" s="16" t="str">
        <x:v>Sentry API unavailable; runner detected no runtime exception or console error classified as high or medium</x:v>
      </x:c>
      <x:c r="Z126" s="16" t="str">
        <x:v>athlete</x:v>
      </x:c>
      <x:c r="AA126" s="16" t="str">
        <x:v>athlete mapped route flow passed</x:v>
      </x:c>
      <x:c r="AB126" s="16" t="str">
        <x:v>automated route pass; manual visual corpus tracked separately</x:v>
      </x:c>
      <x:c r="AC126" s="16" t="str">
        <x:v>configured actions passed where present; otherwise route-load only</x:v>
      </x:c>
      <x:c r="AD126" s="16" t="str">
        <x:v>no automated high or medium finding</x:v>
      </x:c>
      <x:c r="AE126" s="16" t="str">
        <x:v>0 product-text findings</x:v>
      </x:c>
      <x:c r="AF126" s="16" t="str">
        <x:v>0 product-text findings</x:v>
      </x:c>
      <x:c r="AG126" s="16" t="str">
        <x:v>Shared React Native surface passed responsive runtime; native interaction remains blocked by host DevToolsSecurity</x:v>
      </x:c>
      <x:c r="AH126" s="16" t="str">
        <x:v>football product route</x:v>
      </x:c>
      <x:c r="AI126" s="16" t="str">
        <x:v>390px viewport with 0 horizontal overflow</x:v>
      </x:c>
      <x:c r="AJ126" s="16" t="str">
        <x:v>0 nested buttons; native semantic tree and VoiceOver remain unverified</x:v>
      </x:c>
      <x:c r="AK126" s="16" t="str">
        <x:v>passed</x:v>
      </x:c>
      <x:c r="AL126" s="16" t="str"/>
      <x:c r="AM126" s="16" t="str">
        <x:v>reviews/ios-native-audit/runtime/2026-07-31/report.merged.json</x:v>
      </x:c>
      <x:c r="AN126" s="16" t="str"/>
      <x:c r="AO126" s="16" t="str">
        <x:v>chore(audit): reconcile responsive route evidence</x:v>
      </x:c>
      <x:c r="AP126" s="16" t="str">
        <x:v>1/1 fresh mapped flows passed on 2026-07-31</x:v>
      </x:c>
      <x:c r="AQ126" s="16" t="str">
        <x:v>Non-destructive responsive route evidence only; exact API request IDs database RLS audit-event and native checks remain explicit separate gaps</x:v>
      </x:c>
    </x:row>
    <x:row r="127" ht="48" customHeight="1">
      <x:c r="A127" s="18" t="str">
        <x:v>ROUTE-095</x:v>
      </x:c>
      <x:c r="B127" s="16" t="str">
        <x:v>ROUTE-INVENTORY</x:v>
      </x:c>
      <x:c r="C127" s="16" t="str">
        <x:v>Reachable route coverage</x:v>
      </x:c>
      <x:c r="D127" s="16" t="str">
        <x:v>to classify</x:v>
      </x:c>
      <x:c r="E127" s="16" t="str">
        <x:v>app/health/log.tsx</x:v>
      </x:c>
      <x:c r="F127" s="16" t="str">
        <x:v>app/health/log.tsx</x:v>
      </x:c>
      <x:c r="G127" s="16" t="str">
        <x:v>inventory</x:v>
      </x:c>
      <x:c r="H127" s="16" t="str"/>
      <x:c r="I127" s="16" t="str">
        <x:v>staging</x:v>
      </x:c>
      <x:c r="J127" s="16" t="str"/>
      <x:c r="K127" s="16" t="str"/>
      <x:c r="L127" s="16" t="str"/>
      <x:c r="M127" s="16" t="str"/>
      <x:c r="N127" s="16" t="str"/>
      <x:c r="O127" s="16" t="str"/>
      <x:c r="P127" s="16" t="str"/>
      <x:c r="Q127" s="16" t="str"/>
      <x:c r="R127" s="16" t="str"/>
      <x:c r="S127" s="16" t="str"/>
      <x:c r="T127" s="16" t="str"/>
      <x:c r="U127" s="16" t="str"/>
      <x:c r="V127" s="16" t="str"/>
      <x:c r="W127" s="16" t="str"/>
      <x:c r="X127" s="16" t="str"/>
      <x:c r="Y127" s="16" t="str"/>
      <x:c r="Z127" s="16" t="str"/>
      <x:c r="AA127" s="16" t="str"/>
      <x:c r="AB127" s="16" t="str"/>
      <x:c r="AC127" s="16" t="str"/>
      <x:c r="AD127" s="16" t="str"/>
      <x:c r="AE127" s="16" t="str"/>
      <x:c r="AF127" s="16" t="str"/>
      <x:c r="AG127" s="16" t="str"/>
      <x:c r="AH127" s="16" t="str"/>
      <x:c r="AI127" s="16" t="str"/>
      <x:c r="AJ127" s="16" t="str"/>
      <x:c r="AK127" s="16" t="str">
        <x:v>pending</x:v>
      </x:c>
      <x:c r="AL127" s="16" t="str"/>
      <x:c r="AM127" s="16" t="str"/>
      <x:c r="AN127" s="16" t="str"/>
      <x:c r="AO127" s="16" t="str"/>
      <x:c r="AP127" s="16" t="str">
        <x:v>pending</x:v>
      </x:c>
      <x:c r="AQ127" s="16" t="str">
        <x:v>Discovered from executable Expo Router tree; runtime coverage pending</x:v>
      </x:c>
    </x:row>
    <x:row r="128" ht="48" customHeight="1">
      <x:c r="A128" s="18" t="str">
        <x:v>ROUTE-096</x:v>
      </x:c>
      <x:c r="B128" s="16" t="str">
        <x:v>ROUTE-INVENTORY</x:v>
      </x:c>
      <x:c r="C128" s="16" t="str">
        <x:v>Reachable route coverage</x:v>
      </x:c>
      <x:c r="D128" s="16" t="str">
        <x:v>to classify</x:v>
      </x:c>
      <x:c r="E128" s="16" t="str">
        <x:v>app/invites.tsx</x:v>
      </x:c>
      <x:c r="F128" s="16" t="str">
        <x:v>app/invites.tsx</x:v>
      </x:c>
      <x:c r="G128" s="16" t="str">
        <x:v>inventory</x:v>
      </x:c>
      <x:c r="H128" s="16" t="str"/>
      <x:c r="I128" s="16" t="str">
        <x:v>staging</x:v>
      </x:c>
      <x:c r="J128" s="16" t="str"/>
      <x:c r="K128" s="16" t="str"/>
      <x:c r="L128" s="16" t="str"/>
      <x:c r="M128" s="16" t="str"/>
      <x:c r="N128" s="16" t="str"/>
      <x:c r="O128" s="16" t="str"/>
      <x:c r="P128" s="16" t="str"/>
      <x:c r="Q128" s="16" t="str"/>
      <x:c r="R128" s="16" t="str"/>
      <x:c r="S128" s="16" t="str"/>
      <x:c r="T128" s="16" t="str"/>
      <x:c r="U128" s="16" t="str"/>
      <x:c r="V128" s="16" t="str"/>
      <x:c r="W128" s="16" t="str"/>
      <x:c r="X128" s="16" t="str"/>
      <x:c r="Y128" s="16" t="str"/>
      <x:c r="Z128" s="16" t="str"/>
      <x:c r="AA128" s="16" t="str"/>
      <x:c r="AB128" s="16" t="str"/>
      <x:c r="AC128" s="16" t="str"/>
      <x:c r="AD128" s="16" t="str"/>
      <x:c r="AE128" s="16" t="str"/>
      <x:c r="AF128" s="16" t="str"/>
      <x:c r="AG128" s="16" t="str"/>
      <x:c r="AH128" s="16" t="str"/>
      <x:c r="AI128" s="16" t="str"/>
      <x:c r="AJ128" s="16" t="str"/>
      <x:c r="AK128" s="16" t="str">
        <x:v>pending</x:v>
      </x:c>
      <x:c r="AL128" s="16" t="str"/>
      <x:c r="AM128" s="16" t="str"/>
      <x:c r="AN128" s="16" t="str"/>
      <x:c r="AO128" s="16" t="str"/>
      <x:c r="AP128" s="16" t="str">
        <x:v>pending</x:v>
      </x:c>
      <x:c r="AQ128" s="16" t="str">
        <x:v>Discovered from executable Expo Router tree; runtime coverage pending</x:v>
      </x:c>
    </x:row>
    <x:row r="129" ht="48" customHeight="1">
      <x:c r="A129" s="18" t="str">
        <x:v>ROUTE-097</x:v>
      </x:c>
      <x:c r="B129" s="16" t="str">
        <x:v>ROUTE-INVENTORY</x:v>
      </x:c>
      <x:c r="C129" s="16" t="str">
        <x:v>Reachable route coverage</x:v>
      </x:c>
      <x:c r="D129" s="16" t="str">
        <x:v>to classify</x:v>
      </x:c>
      <x:c r="E129" s="16" t="str">
        <x:v>app/invoices/[id].tsx</x:v>
      </x:c>
      <x:c r="F129" s="16" t="str">
        <x:v>app/invoices/[id].tsx</x:v>
      </x:c>
      <x:c r="G129" s="16" t="str">
        <x:v>inventory</x:v>
      </x:c>
      <x:c r="H129" s="16" t="str"/>
      <x:c r="I129" s="16" t="str">
        <x:v>staging</x:v>
      </x:c>
      <x:c r="J129" s="16" t="str"/>
      <x:c r="K129" s="16" t="str"/>
      <x:c r="L129" s="16" t="str"/>
      <x:c r="M129" s="16" t="str"/>
      <x:c r="N129" s="16" t="str"/>
      <x:c r="O129" s="16" t="str"/>
      <x:c r="P129" s="16" t="str"/>
      <x:c r="Q129" s="16" t="str"/>
      <x:c r="R129" s="16" t="str"/>
      <x:c r="S129" s="16" t="str"/>
      <x:c r="T129" s="16" t="str"/>
      <x:c r="U129" s="16" t="str"/>
      <x:c r="V129" s="16" t="str"/>
      <x:c r="W129" s="16" t="str"/>
      <x:c r="X129" s="16" t="str"/>
      <x:c r="Y129" s="16" t="str"/>
      <x:c r="Z129" s="16" t="str"/>
      <x:c r="AA129" s="16" t="str"/>
      <x:c r="AB129" s="16" t="str"/>
      <x:c r="AC129" s="16" t="str"/>
      <x:c r="AD129" s="16" t="str"/>
      <x:c r="AE129" s="16" t="str"/>
      <x:c r="AF129" s="16" t="str"/>
      <x:c r="AG129" s="16" t="str"/>
      <x:c r="AH129" s="16" t="str"/>
      <x:c r="AI129" s="16" t="str"/>
      <x:c r="AJ129" s="16" t="str"/>
      <x:c r="AK129" s="16" t="str">
        <x:v>pending</x:v>
      </x:c>
      <x:c r="AL129" s="16" t="str"/>
      <x:c r="AM129" s="16" t="str"/>
      <x:c r="AN129" s="16" t="str"/>
      <x:c r="AO129" s="16" t="str"/>
      <x:c r="AP129" s="16" t="str">
        <x:v>pending</x:v>
      </x:c>
      <x:c r="AQ129" s="16" t="str">
        <x:v>Discovered from executable Expo Router tree; runtime coverage pending</x:v>
      </x:c>
    </x:row>
    <x:row r="130" ht="48" customHeight="1">
      <x:c r="A130" s="18" t="str">
        <x:v>ROUTE-098</x:v>
      </x:c>
      <x:c r="B130" s="16" t="str">
        <x:v>ROUTE-INVENTORY</x:v>
      </x:c>
      <x:c r="C130" s="16" t="str">
        <x:v>Reachable route coverage</x:v>
      </x:c>
      <x:c r="D130" s="16" t="str">
        <x:v>to classify</x:v>
      </x:c>
      <x:c r="E130" s="16" t="str">
        <x:v>app/invoices/index.tsx</x:v>
      </x:c>
      <x:c r="F130" s="16" t="str">
        <x:v>app/invoices/index.tsx</x:v>
      </x:c>
      <x:c r="G130" s="16" t="str">
        <x:v>inventory</x:v>
      </x:c>
      <x:c r="H130" s="16" t="str"/>
      <x:c r="I130" s="16" t="str">
        <x:v>staging</x:v>
      </x:c>
      <x:c r="J130" s="16" t="str"/>
      <x:c r="K130" s="16" t="str"/>
      <x:c r="L130" s="16" t="str"/>
      <x:c r="M130" s="16" t="str"/>
      <x:c r="N130" s="16" t="str"/>
      <x:c r="O130" s="16" t="str"/>
      <x:c r="P130" s="16" t="str"/>
      <x:c r="Q130" s="16" t="str"/>
      <x:c r="R130" s="16" t="str"/>
      <x:c r="S130" s="16" t="str"/>
      <x:c r="T130" s="16" t="str"/>
      <x:c r="U130" s="16" t="str"/>
      <x:c r="V130" s="16" t="str"/>
      <x:c r="W130" s="16" t="str"/>
      <x:c r="X130" s="16" t="str"/>
      <x:c r="Y130" s="16" t="str"/>
      <x:c r="Z130" s="16" t="str"/>
      <x:c r="AA130" s="16" t="str"/>
      <x:c r="AB130" s="16" t="str"/>
      <x:c r="AC130" s="16" t="str"/>
      <x:c r="AD130" s="16" t="str"/>
      <x:c r="AE130" s="16" t="str"/>
      <x:c r="AF130" s="16" t="str"/>
      <x:c r="AG130" s="16" t="str"/>
      <x:c r="AH130" s="16" t="str"/>
      <x:c r="AI130" s="16" t="str"/>
      <x:c r="AJ130" s="16" t="str"/>
      <x:c r="AK130" s="16" t="str">
        <x:v>pending</x:v>
      </x:c>
      <x:c r="AL130" s="16" t="str"/>
      <x:c r="AM130" s="16" t="str"/>
      <x:c r="AN130" s="16" t="str"/>
      <x:c r="AO130" s="16" t="str"/>
      <x:c r="AP130" s="16" t="str">
        <x:v>pending</x:v>
      </x:c>
      <x:c r="AQ130" s="16" t="str">
        <x:v>Discovered from executable Expo Router tree; runtime coverage pending</x:v>
      </x:c>
    </x:row>
    <x:row r="131" ht="48" customHeight="1">
      <x:c r="A131" s="18" t="str">
        <x:v>ROUTE-099</x:v>
      </x:c>
      <x:c r="B131" s="16" t="str">
        <x:v>ROUTE-INVENTORY</x:v>
      </x:c>
      <x:c r="C131" s="16" t="str">
        <x:v>Reachable route coverage</x:v>
      </x:c>
      <x:c r="D131" s="16" t="str">
        <x:v>to classify</x:v>
      </x:c>
      <x:c r="E131" s="16" t="str">
        <x:v>app/manage/[legacy].tsx</x:v>
      </x:c>
      <x:c r="F131" s="16" t="str">
        <x:v>app/manage/[legacy].tsx</x:v>
      </x:c>
      <x:c r="G131" s="16" t="str">
        <x:v>inventory</x:v>
      </x:c>
      <x:c r="H131" s="16" t="str"/>
      <x:c r="I131" s="16" t="str">
        <x:v>staging</x:v>
      </x:c>
      <x:c r="J131" s="16" t="str"/>
      <x:c r="K131" s="16" t="str"/>
      <x:c r="L131" s="16" t="str"/>
      <x:c r="M131" s="16" t="str"/>
      <x:c r="N131" s="16" t="str"/>
      <x:c r="O131" s="16" t="str"/>
      <x:c r="P131" s="16" t="str"/>
      <x:c r="Q131" s="16" t="str"/>
      <x:c r="R131" s="16" t="str"/>
      <x:c r="S131" s="16" t="str"/>
      <x:c r="T131" s="16" t="str"/>
      <x:c r="U131" s="16" t="str"/>
      <x:c r="V131" s="16" t="str"/>
      <x:c r="W131" s="16" t="str"/>
      <x:c r="X131" s="16" t="str"/>
      <x:c r="Y131" s="16" t="str"/>
      <x:c r="Z131" s="16" t="str"/>
      <x:c r="AA131" s="16" t="str"/>
      <x:c r="AB131" s="16" t="str"/>
      <x:c r="AC131" s="16" t="str"/>
      <x:c r="AD131" s="16" t="str"/>
      <x:c r="AE131" s="16" t="str"/>
      <x:c r="AF131" s="16" t="str"/>
      <x:c r="AG131" s="16" t="str"/>
      <x:c r="AH131" s="16" t="str"/>
      <x:c r="AI131" s="16" t="str"/>
      <x:c r="AJ131" s="16" t="str"/>
      <x:c r="AK131" s="16" t="str">
        <x:v>pending</x:v>
      </x:c>
      <x:c r="AL131" s="16" t="str"/>
      <x:c r="AM131" s="16" t="str"/>
      <x:c r="AN131" s="16" t="str"/>
      <x:c r="AO131" s="16" t="str"/>
      <x:c r="AP131" s="16" t="str">
        <x:v>pending</x:v>
      </x:c>
      <x:c r="AQ131" s="16" t="str">
        <x:v>Discovered from executable Expo Router tree; runtime coverage pending</x:v>
      </x:c>
    </x:row>
    <x:row r="132" ht="48" customHeight="1">
      <x:c r="A132" s="18" t="str">
        <x:v>ROUTE-100</x:v>
      </x:c>
      <x:c r="B132" s="16" t="str">
        <x:v>coach_manage | coach_manage_bookings</x:v>
      </x:c>
      <x:c r="C132" s="16" t="str">
        <x:v>Coach opens management hub | Coach opens booking console</x:v>
      </x:c>
      <x:c r="D132" s="16" t="str">
        <x:v>coach</x:v>
      </x:c>
      <x:c r="E132" s="16" t="str">
        <x:v>app/manage/bookings.tsx</x:v>
      </x:c>
      <x:c r="F132" s="16" t="str">
        <x:v>app/manage/bookings.tsx</x:v>
      </x:c>
      <x:c r="G132" s="16" t="str">
        <x:v>responsive route load and configured non-mutating assertions</x:v>
      </x:c>
      <x:c r="H132" s="16" t="str">
        <x:v>iPhone 16 Pro responsive browser viewport</x:v>
      </x:c>
      <x:c r="I132" s="16" t="str">
        <x:v>local Expo web bundle backed by staging API</x:v>
      </x:c>
      <x:c r="J132" s="16" t="str">
        <x:v>/manage | /manage/bookings</x:v>
      </x:c>
      <x:c r="K132" s="16" t="str">
        <x:v>Authenticated seeded role account and linked staging dataset</x:v>
      </x:c>
      <x:c r="L132" s="16" t="str">
        <x:v>1</x:v>
      </x:c>
      <x:c r="M132" s="16" t="str">
        <x:v>coach_manage | coach_manage_bookings</x:v>
      </x:c>
      <x:c r="N132" s="16" t="str">
        <x:v>Navigate directly and execute the flow runner assertions without submitting a product mutation</x:v>
      </x:c>
      <x:c r="O132" s="16" t="str">
        <x:v>Resolve the intended route without a failed request runtime exception shared error state nested button horizontal overflow or product-text finding</x:v>
      </x:c>
      <x:c r="P132" s="16" t="str">
        <x:v>2/2 mapped flows returned status ok and severity none at 390px</x:v>
      </x:c>
      <x:c r="Q132" s="16" t="str">
        <x:v>Browser-observed role-scoped route requests</x:v>
      </x:c>
      <x:c r="R132" s="16" t="str">
        <x:v>No failed request detected; exact endpoint-by-endpoint reconciliation remains a separate audit gap</x:v>
      </x:c>
      <x:c r="S132" s="16" t="str"/>
      <x:c r="T132" s="16" t="str"/>
      <x:c r="U132" s="16" t="str">
        <x:v>No database mutation executed by this route-load regression</x:v>
      </x:c>
      <x:c r="V132" s="16" t="str">
        <x:v>Not directly exercised in this route-load regression</x:v>
      </x:c>
      <x:c r="W132" s="16" t="str">
        <x:v>Not reconciled in this route-load regression</x:v>
      </x:c>
      <x:c r="X132" s="16" t="str"/>
      <x:c r="Y132" s="16" t="str">
        <x:v>Sentry API unavailable; runner detected no runtime exception or console error classified as high or medium</x:v>
      </x:c>
      <x:c r="Z132" s="16" t="str">
        <x:v>coach</x:v>
      </x:c>
      <x:c r="AA132" s="16" t="str">
        <x:v>coach mapped route flow passed</x:v>
      </x:c>
      <x:c r="AB132" s="16" t="str">
        <x:v>automated route pass; manual visual corpus tracked separately</x:v>
      </x:c>
      <x:c r="AC132" s="16" t="str">
        <x:v>configured actions passed where present; otherwise route-load only</x:v>
      </x:c>
      <x:c r="AD132" s="16" t="str">
        <x:v>no automated high or medium finding</x:v>
      </x:c>
      <x:c r="AE132" s="16" t="str">
        <x:v>0 product-text findings</x:v>
      </x:c>
      <x:c r="AF132" s="16" t="str">
        <x:v>0 product-text findings</x:v>
      </x:c>
      <x:c r="AG132" s="16" t="str">
        <x:v>Shared React Native surface passed responsive runtime; native interaction remains blocked by host DevToolsSecurity</x:v>
      </x:c>
      <x:c r="AH132" s="16" t="str">
        <x:v>football product route</x:v>
      </x:c>
      <x:c r="AI132" s="16" t="str">
        <x:v>390px viewport with 0 horizontal overflow</x:v>
      </x:c>
      <x:c r="AJ132" s="16" t="str">
        <x:v>0 nested buttons; native semantic tree and VoiceOver remain unverified</x:v>
      </x:c>
      <x:c r="AK132" s="16" t="str">
        <x:v>passed</x:v>
      </x:c>
      <x:c r="AL132" s="16" t="str"/>
      <x:c r="AM132" s="16" t="str">
        <x:v>reviews/ios-native-audit/runtime/2026-07-31/report.merged.json</x:v>
      </x:c>
      <x:c r="AN132" s="16" t="str"/>
      <x:c r="AO132" s="16" t="str">
        <x:v>chore(audit): reconcile responsive route evidence</x:v>
      </x:c>
      <x:c r="AP132" s="16" t="str">
        <x:v>2/2 fresh mapped flows passed on 2026-07-31</x:v>
      </x:c>
      <x:c r="AQ132" s="16" t="str">
        <x:v>Non-destructive responsive route evidence only; exact API request IDs database RLS audit-event and native checks remain explicit separate gaps</x:v>
      </x:c>
    </x:row>
    <x:row r="133" ht="48" customHeight="1">
      <x:c r="A133" s="18" t="str">
        <x:v>ROUTE-101</x:v>
      </x:c>
      <x:c r="B133" s="16" t="str">
        <x:v>owner_head_coach</x:v>
      </x:c>
      <x:c r="C133" s="16" t="str">
        <x:v>Owner opens head coach oversight</x:v>
      </x:c>
      <x:c r="D133" s="16" t="str">
        <x:v>club admin</x:v>
      </x:c>
      <x:c r="E133" s="16" t="str">
        <x:v>app/manage/head-coach.tsx</x:v>
      </x:c>
      <x:c r="F133" s="16" t="str">
        <x:v>app/manage/head-coach.tsx</x:v>
      </x:c>
      <x:c r="G133" s="16" t="str">
        <x:v>responsive route load and configured non-mutating assertions</x:v>
      </x:c>
      <x:c r="H133" s="16" t="str">
        <x:v>iPhone 16 Pro responsive browser viewport</x:v>
      </x:c>
      <x:c r="I133" s="16" t="str">
        <x:v>local Expo web bundle backed by staging API</x:v>
      </x:c>
      <x:c r="J133" s="16" t="str">
        <x:v>/manage/head-coach?clubId=clb_4ee614a0-62ee-73ff-9328-0f74a326c2c1</x:v>
      </x:c>
      <x:c r="K133" s="16" t="str">
        <x:v>Authenticated seeded role account and linked staging dataset</x:v>
      </x:c>
      <x:c r="L133" s="16" t="str">
        <x:v>1</x:v>
      </x:c>
      <x:c r="M133" s="16" t="str">
        <x:v>owner_head_coach</x:v>
      </x:c>
      <x:c r="N133" s="16" t="str">
        <x:v>Navigate directly and execute the flow runner assertions without submitting a product mutation</x:v>
      </x:c>
      <x:c r="O133" s="16" t="str">
        <x:v>Resolve the intended route without a failed request runtime exception shared error state nested button horizontal overflow or product-text finding</x:v>
      </x:c>
      <x:c r="P133" s="16" t="str">
        <x:v>1/1 mapped flows returned status ok and severity none at 390px</x:v>
      </x:c>
      <x:c r="Q133" s="16" t="str">
        <x:v>Browser-observed role-scoped route requests</x:v>
      </x:c>
      <x:c r="R133" s="16" t="str">
        <x:v>No failed request detected; exact endpoint-by-endpoint reconciliation remains a separate audit gap</x:v>
      </x:c>
      <x:c r="S133" s="16" t="str"/>
      <x:c r="T133" s="16" t="str"/>
      <x:c r="U133" s="16" t="str">
        <x:v>No database mutation executed by this route-load regression</x:v>
      </x:c>
      <x:c r="V133" s="16" t="str">
        <x:v>Not directly exercised in this route-load regression</x:v>
      </x:c>
      <x:c r="W133" s="16" t="str">
        <x:v>Not reconciled in this route-load regression</x:v>
      </x:c>
      <x:c r="X133" s="16" t="str"/>
      <x:c r="Y133" s="16" t="str">
        <x:v>Sentry API unavailable; runner detected no runtime exception or console error classified as high or medium</x:v>
      </x:c>
      <x:c r="Z133" s="16" t="str">
        <x:v>club admin</x:v>
      </x:c>
      <x:c r="AA133" s="16" t="str">
        <x:v>club admin mapped route flow passed</x:v>
      </x:c>
      <x:c r="AB133" s="16" t="str">
        <x:v>automated route pass; manual visual corpus tracked separately</x:v>
      </x:c>
      <x:c r="AC133" s="16" t="str">
        <x:v>configured actions passed where present; otherwise route-load only</x:v>
      </x:c>
      <x:c r="AD133" s="16" t="str">
        <x:v>no automated high or medium finding</x:v>
      </x:c>
      <x:c r="AE133" s="16" t="str">
        <x:v>0 product-text findings</x:v>
      </x:c>
      <x:c r="AF133" s="16" t="str">
        <x:v>0 product-text findings</x:v>
      </x:c>
      <x:c r="AG133" s="16" t="str">
        <x:v>Shared React Native surface passed responsive runtime; native interaction remains blocked by host DevToolsSecurity</x:v>
      </x:c>
      <x:c r="AH133" s="16" t="str">
        <x:v>football product route</x:v>
      </x:c>
      <x:c r="AI133" s="16" t="str">
        <x:v>390px viewport with 0 horizontal overflow</x:v>
      </x:c>
      <x:c r="AJ133" s="16" t="str">
        <x:v>0 nested buttons; native semantic tree and VoiceOver remain unverified</x:v>
      </x:c>
      <x:c r="AK133" s="16" t="str">
        <x:v>passed</x:v>
      </x:c>
      <x:c r="AL133" s="16" t="str"/>
      <x:c r="AM133" s="16" t="str">
        <x:v>reviews/ios-native-audit/runtime/2026-07-31/report.merged.json</x:v>
      </x:c>
      <x:c r="AN133" s="16" t="str"/>
      <x:c r="AO133" s="16" t="str">
        <x:v>chore(audit): reconcile responsive route evidence</x:v>
      </x:c>
      <x:c r="AP133" s="16" t="str">
        <x:v>1/1 fresh mapped flows passed on 2026-07-31</x:v>
      </x:c>
      <x:c r="AQ133" s="16" t="str">
        <x:v>Non-destructive responsive route evidence only; exact API request IDs database RLS audit-event and native checks remain explicit separate gaps</x:v>
      </x:c>
    </x:row>
    <x:row r="134" ht="48" customHeight="1">
      <x:c r="A134" s="18" t="str">
        <x:v>ROUTE-102</x:v>
      </x:c>
      <x:c r="B134" s="16" t="str">
        <x:v>coach_manage</x:v>
      </x:c>
      <x:c r="C134" s="16" t="str">
        <x:v>Coach opens management hub</x:v>
      </x:c>
      <x:c r="D134" s="16" t="str">
        <x:v>coach</x:v>
      </x:c>
      <x:c r="E134" s="16" t="str">
        <x:v>app/manage/index.tsx</x:v>
      </x:c>
      <x:c r="F134" s="16" t="str">
        <x:v>app/manage/index.tsx</x:v>
      </x:c>
      <x:c r="G134" s="16" t="str">
        <x:v>responsive route load and configured non-mutating assertions</x:v>
      </x:c>
      <x:c r="H134" s="16" t="str">
        <x:v>iPhone 16 Pro responsive browser viewport</x:v>
      </x:c>
      <x:c r="I134" s="16" t="str">
        <x:v>local Expo web bundle backed by staging API</x:v>
      </x:c>
      <x:c r="J134" s="16" t="str">
        <x:v>/manage</x:v>
      </x:c>
      <x:c r="K134" s="16" t="str">
        <x:v>Authenticated seeded role account and linked staging dataset</x:v>
      </x:c>
      <x:c r="L134" s="16" t="str">
        <x:v>1</x:v>
      </x:c>
      <x:c r="M134" s="16" t="str">
        <x:v>coach_manage</x:v>
      </x:c>
      <x:c r="N134" s="16" t="str">
        <x:v>Navigate directly and execute the flow runner assertions without submitting a product mutation</x:v>
      </x:c>
      <x:c r="O134" s="16" t="str">
        <x:v>Resolve the intended route without a failed request runtime exception shared error state nested button horizontal overflow or product-text finding</x:v>
      </x:c>
      <x:c r="P134" s="16" t="str">
        <x:v>1/1 mapped flows returned status ok and severity none at 390px</x:v>
      </x:c>
      <x:c r="Q134" s="16" t="str">
        <x:v>Browser-observed role-scoped route requests</x:v>
      </x:c>
      <x:c r="R134" s="16" t="str">
        <x:v>No failed request detected; exact endpoint-by-endpoint reconciliation remains a separate audit gap</x:v>
      </x:c>
      <x:c r="S134" s="16" t="str"/>
      <x:c r="T134" s="16" t="str"/>
      <x:c r="U134" s="16" t="str">
        <x:v>No database mutation executed by this route-load regression</x:v>
      </x:c>
      <x:c r="V134" s="16" t="str">
        <x:v>Not directly exercised in this route-load regression</x:v>
      </x:c>
      <x:c r="W134" s="16" t="str">
        <x:v>Not reconciled in this route-load regression</x:v>
      </x:c>
      <x:c r="X134" s="16" t="str"/>
      <x:c r="Y134" s="16" t="str">
        <x:v>Sentry API unavailable; runner detected no runtime exception or console error classified as high or medium</x:v>
      </x:c>
      <x:c r="Z134" s="16" t="str">
        <x:v>coach</x:v>
      </x:c>
      <x:c r="AA134" s="16" t="str">
        <x:v>coach mapped route flow passed</x:v>
      </x:c>
      <x:c r="AB134" s="16" t="str">
        <x:v>automated route pass; manual visual corpus tracked separately</x:v>
      </x:c>
      <x:c r="AC134" s="16" t="str">
        <x:v>configured actions passed where present; otherwise route-load only</x:v>
      </x:c>
      <x:c r="AD134" s="16" t="str">
        <x:v>no automated high or medium finding</x:v>
      </x:c>
      <x:c r="AE134" s="16" t="str">
        <x:v>0 product-text findings</x:v>
      </x:c>
      <x:c r="AF134" s="16" t="str">
        <x:v>0 product-text findings</x:v>
      </x:c>
      <x:c r="AG134" s="16" t="str">
        <x:v>Shared React Native surface passed responsive runtime; native interaction remains blocked by host DevToolsSecurity</x:v>
      </x:c>
      <x:c r="AH134" s="16" t="str">
        <x:v>football product route</x:v>
      </x:c>
      <x:c r="AI134" s="16" t="str">
        <x:v>390px viewport with 0 horizontal overflow</x:v>
      </x:c>
      <x:c r="AJ134" s="16" t="str">
        <x:v>0 nested buttons; native semantic tree and VoiceOver remain unverified</x:v>
      </x:c>
      <x:c r="AK134" s="16" t="str">
        <x:v>passed</x:v>
      </x:c>
      <x:c r="AL134" s="16" t="str"/>
      <x:c r="AM134" s="16" t="str">
        <x:v>reviews/ios-native-audit/runtime/2026-07-31/report.merged.json</x:v>
      </x:c>
      <x:c r="AN134" s="16" t="str"/>
      <x:c r="AO134" s="16" t="str">
        <x:v>chore(audit): reconcile responsive route evidence</x:v>
      </x:c>
      <x:c r="AP134" s="16" t="str">
        <x:v>1/1 fresh mapped flows passed on 2026-07-31</x:v>
      </x:c>
      <x:c r="AQ134" s="16" t="str">
        <x:v>Non-destructive responsive route evidence only; exact API request IDs database RLS audit-event and native checks remain explicit separate gaps</x:v>
      </x:c>
    </x:row>
    <x:row r="135" ht="48" customHeight="1">
      <x:c r="A135" s="18" t="str">
        <x:v>ROUTE-103</x:v>
      </x:c>
      <x:c r="B135" s="16" t="str">
        <x:v>ROUTE-INVENTORY</x:v>
      </x:c>
      <x:c r="C135" s="16" t="str">
        <x:v>Reachable route coverage</x:v>
      </x:c>
      <x:c r="D135" s="16" t="str">
        <x:v>to classify</x:v>
      </x:c>
      <x:c r="E135" s="16" t="str">
        <x:v>app/matches/[id].tsx</x:v>
      </x:c>
      <x:c r="F135" s="16" t="str">
        <x:v>app/matches/[id].tsx</x:v>
      </x:c>
      <x:c r="G135" s="16" t="str">
        <x:v>inventory</x:v>
      </x:c>
      <x:c r="H135" s="16" t="str"/>
      <x:c r="I135" s="16" t="str">
        <x:v>staging</x:v>
      </x:c>
      <x:c r="J135" s="16" t="str"/>
      <x:c r="K135" s="16" t="str"/>
      <x:c r="L135" s="16" t="str"/>
      <x:c r="M135" s="16" t="str"/>
      <x:c r="N135" s="16" t="str"/>
      <x:c r="O135" s="16" t="str"/>
      <x:c r="P135" s="16" t="str"/>
      <x:c r="Q135" s="16" t="str"/>
      <x:c r="R135" s="16" t="str"/>
      <x:c r="S135" s="16" t="str"/>
      <x:c r="T135" s="16" t="str"/>
      <x:c r="U135" s="16" t="str"/>
      <x:c r="V135" s="16" t="str"/>
      <x:c r="W135" s="16" t="str"/>
      <x:c r="X135" s="16" t="str"/>
      <x:c r="Y135" s="16" t="str"/>
      <x:c r="Z135" s="16" t="str"/>
      <x:c r="AA135" s="16" t="str"/>
      <x:c r="AB135" s="16" t="str"/>
      <x:c r="AC135" s="16" t="str"/>
      <x:c r="AD135" s="16" t="str"/>
      <x:c r="AE135" s="16" t="str"/>
      <x:c r="AF135" s="16" t="str"/>
      <x:c r="AG135" s="16" t="str"/>
      <x:c r="AH135" s="16" t="str"/>
      <x:c r="AI135" s="16" t="str"/>
      <x:c r="AJ135" s="16" t="str"/>
      <x:c r="AK135" s="16" t="str">
        <x:v>pending</x:v>
      </x:c>
      <x:c r="AL135" s="16" t="str"/>
      <x:c r="AM135" s="16" t="str"/>
      <x:c r="AN135" s="16" t="str"/>
      <x:c r="AO135" s="16" t="str"/>
      <x:c r="AP135" s="16" t="str">
        <x:v>pending</x:v>
      </x:c>
      <x:c r="AQ135" s="16" t="str">
        <x:v>Discovered from executable Expo Router tree; runtime coverage pending</x:v>
      </x:c>
    </x:row>
    <x:row r="136" ht="48" customHeight="1">
      <x:c r="A136" s="18" t="str">
        <x:v>ROUTE-104</x:v>
      </x:c>
      <x:c r="B136" s="16" t="str">
        <x:v>ROUTE-INVENTORY</x:v>
      </x:c>
      <x:c r="C136" s="16" t="str">
        <x:v>Reachable route coverage</x:v>
      </x:c>
      <x:c r="D136" s="16" t="str">
        <x:v>to classify</x:v>
      </x:c>
      <x:c r="E136" s="16" t="str">
        <x:v>app/matches/create.tsx</x:v>
      </x:c>
      <x:c r="F136" s="16" t="str">
        <x:v>app/matches/create.tsx</x:v>
      </x:c>
      <x:c r="G136" s="16" t="str">
        <x:v>inventory</x:v>
      </x:c>
      <x:c r="H136" s="16" t="str"/>
      <x:c r="I136" s="16" t="str">
        <x:v>staging</x:v>
      </x:c>
      <x:c r="J136" s="16" t="str"/>
      <x:c r="K136" s="16" t="str"/>
      <x:c r="L136" s="16" t="str"/>
      <x:c r="M136" s="16" t="str"/>
      <x:c r="N136" s="16" t="str"/>
      <x:c r="O136" s="16" t="str"/>
      <x:c r="P136" s="16" t="str"/>
      <x:c r="Q136" s="16" t="str"/>
      <x:c r="R136" s="16" t="str"/>
      <x:c r="S136" s="16" t="str"/>
      <x:c r="T136" s="16" t="str"/>
      <x:c r="U136" s="16" t="str"/>
      <x:c r="V136" s="16" t="str"/>
      <x:c r="W136" s="16" t="str"/>
      <x:c r="X136" s="16" t="str"/>
      <x:c r="Y136" s="16" t="str"/>
      <x:c r="Z136" s="16" t="str"/>
      <x:c r="AA136" s="16" t="str"/>
      <x:c r="AB136" s="16" t="str"/>
      <x:c r="AC136" s="16" t="str"/>
      <x:c r="AD136" s="16" t="str"/>
      <x:c r="AE136" s="16" t="str"/>
      <x:c r="AF136" s="16" t="str"/>
      <x:c r="AG136" s="16" t="str"/>
      <x:c r="AH136" s="16" t="str"/>
      <x:c r="AI136" s="16" t="str"/>
      <x:c r="AJ136" s="16" t="str"/>
      <x:c r="AK136" s="16" t="str">
        <x:v>pending</x:v>
      </x:c>
      <x:c r="AL136" s="16" t="str"/>
      <x:c r="AM136" s="16" t="str"/>
      <x:c r="AN136" s="16" t="str"/>
      <x:c r="AO136" s="16" t="str"/>
      <x:c r="AP136" s="16" t="str">
        <x:v>pending</x:v>
      </x:c>
      <x:c r="AQ136" s="16" t="str">
        <x:v>Discovered from executable Expo Router tree; runtime coverage pending</x:v>
      </x:c>
    </x:row>
    <x:row r="137" ht="48" customHeight="1">
      <x:c r="A137" s="18" t="str">
        <x:v>ROUTE-105</x:v>
      </x:c>
      <x:c r="B137" s="16" t="str">
        <x:v>ROUTE-INVENTORY</x:v>
      </x:c>
      <x:c r="C137" s="16" t="str">
        <x:v>Reachable route coverage</x:v>
      </x:c>
      <x:c r="D137" s="16" t="str">
        <x:v>to classify</x:v>
      </x:c>
      <x:c r="E137" s="16" t="str">
        <x:v>app/matches/index.tsx</x:v>
      </x:c>
      <x:c r="F137" s="16" t="str">
        <x:v>app/matches/index.tsx</x:v>
      </x:c>
      <x:c r="G137" s="16" t="str">
        <x:v>inventory</x:v>
      </x:c>
      <x:c r="H137" s="16" t="str"/>
      <x:c r="I137" s="16" t="str">
        <x:v>staging</x:v>
      </x:c>
      <x:c r="J137" s="16" t="str"/>
      <x:c r="K137" s="16" t="str"/>
      <x:c r="L137" s="16" t="str"/>
      <x:c r="M137" s="16" t="str"/>
      <x:c r="N137" s="16" t="str"/>
      <x:c r="O137" s="16" t="str"/>
      <x:c r="P137" s="16" t="str"/>
      <x:c r="Q137" s="16" t="str"/>
      <x:c r="R137" s="16" t="str"/>
      <x:c r="S137" s="16" t="str"/>
      <x:c r="T137" s="16" t="str"/>
      <x:c r="U137" s="16" t="str"/>
      <x:c r="V137" s="16" t="str"/>
      <x:c r="W137" s="16" t="str"/>
      <x:c r="X137" s="16" t="str"/>
      <x:c r="Y137" s="16" t="str"/>
      <x:c r="Z137" s="16" t="str"/>
      <x:c r="AA137" s="16" t="str"/>
      <x:c r="AB137" s="16" t="str"/>
      <x:c r="AC137" s="16" t="str"/>
      <x:c r="AD137" s="16" t="str"/>
      <x:c r="AE137" s="16" t="str"/>
      <x:c r="AF137" s="16" t="str"/>
      <x:c r="AG137" s="16" t="str"/>
      <x:c r="AH137" s="16" t="str"/>
      <x:c r="AI137" s="16" t="str"/>
      <x:c r="AJ137" s="16" t="str"/>
      <x:c r="AK137" s="16" t="str">
        <x:v>pending</x:v>
      </x:c>
      <x:c r="AL137" s="16" t="str"/>
      <x:c r="AM137" s="16" t="str"/>
      <x:c r="AN137" s="16" t="str"/>
      <x:c r="AO137" s="16" t="str"/>
      <x:c r="AP137" s="16" t="str">
        <x:v>pending</x:v>
      </x:c>
      <x:c r="AQ137" s="16" t="str">
        <x:v>Discovered from executable Expo Router tree; runtime coverage pending</x:v>
      </x:c>
    </x:row>
    <x:row r="138" ht="48" customHeight="1">
      <x:c r="A138" s="18" t="str">
        <x:v>ROUTE-106</x:v>
      </x:c>
      <x:c r="B138" s="16" t="str">
        <x:v>ROUTE-INVENTORY</x:v>
      </x:c>
      <x:c r="C138" s="16" t="str">
        <x:v>Reachable route coverage</x:v>
      </x:c>
      <x:c r="D138" s="16" t="str">
        <x:v>to classify</x:v>
      </x:c>
      <x:c r="E138" s="16" t="str">
        <x:v>app/profile/[userId].tsx</x:v>
      </x:c>
      <x:c r="F138" s="16" t="str">
        <x:v>app/profile/[userId].tsx</x:v>
      </x:c>
      <x:c r="G138" s="16" t="str">
        <x:v>inventory</x:v>
      </x:c>
      <x:c r="H138" s="16" t="str"/>
      <x:c r="I138" s="16" t="str">
        <x:v>staging</x:v>
      </x:c>
      <x:c r="J138" s="16" t="str"/>
      <x:c r="K138" s="16" t="str"/>
      <x:c r="L138" s="16" t="str"/>
      <x:c r="M138" s="16" t="str"/>
      <x:c r="N138" s="16" t="str"/>
      <x:c r="O138" s="16" t="str"/>
      <x:c r="P138" s="16" t="str"/>
      <x:c r="Q138" s="16" t="str"/>
      <x:c r="R138" s="16" t="str"/>
      <x:c r="S138" s="16" t="str"/>
      <x:c r="T138" s="16" t="str"/>
      <x:c r="U138" s="16" t="str"/>
      <x:c r="V138" s="16" t="str"/>
      <x:c r="W138" s="16" t="str"/>
      <x:c r="X138" s="16" t="str"/>
      <x:c r="Y138" s="16" t="str"/>
      <x:c r="Z138" s="16" t="str"/>
      <x:c r="AA138" s="16" t="str"/>
      <x:c r="AB138" s="16" t="str"/>
      <x:c r="AC138" s="16" t="str"/>
      <x:c r="AD138" s="16" t="str"/>
      <x:c r="AE138" s="16" t="str"/>
      <x:c r="AF138" s="16" t="str"/>
      <x:c r="AG138" s="16" t="str"/>
      <x:c r="AH138" s="16" t="str"/>
      <x:c r="AI138" s="16" t="str"/>
      <x:c r="AJ138" s="16" t="str"/>
      <x:c r="AK138" s="16" t="str">
        <x:v>pending</x:v>
      </x:c>
      <x:c r="AL138" s="16" t="str"/>
      <x:c r="AM138" s="16" t="str"/>
      <x:c r="AN138" s="16" t="str"/>
      <x:c r="AO138" s="16" t="str"/>
      <x:c r="AP138" s="16" t="str">
        <x:v>pending</x:v>
      </x:c>
      <x:c r="AQ138" s="16" t="str">
        <x:v>Discovered from executable Expo Router tree; runtime coverage pending</x:v>
      </x:c>
    </x:row>
    <x:row r="139" ht="48" customHeight="1">
      <x:c r="A139" s="18" t="str">
        <x:v>ROUTE-107</x:v>
      </x:c>
      <x:c r="B139" s="16" t="str">
        <x:v>ROUTE-INVENTORY</x:v>
      </x:c>
      <x:c r="C139" s="16" t="str">
        <x:v>Reachable route coverage</x:v>
      </x:c>
      <x:c r="D139" s="16" t="str">
        <x:v>to classify</x:v>
      </x:c>
      <x:c r="E139" s="16" t="str">
        <x:v>app/review/[bookingId].tsx</x:v>
      </x:c>
      <x:c r="F139" s="16" t="str">
        <x:v>app/review/[bookingId].tsx</x:v>
      </x:c>
      <x:c r="G139" s="16" t="str">
        <x:v>inventory</x:v>
      </x:c>
      <x:c r="H139" s="16" t="str"/>
      <x:c r="I139" s="16" t="str">
        <x:v>staging</x:v>
      </x:c>
      <x:c r="J139" s="16" t="str"/>
      <x:c r="K139" s="16" t="str"/>
      <x:c r="L139" s="16" t="str"/>
      <x:c r="M139" s="16" t="str"/>
      <x:c r="N139" s="16" t="str"/>
      <x:c r="O139" s="16" t="str"/>
      <x:c r="P139" s="16" t="str"/>
      <x:c r="Q139" s="16" t="str"/>
      <x:c r="R139" s="16" t="str"/>
      <x:c r="S139" s="16" t="str"/>
      <x:c r="T139" s="16" t="str"/>
      <x:c r="U139" s="16" t="str"/>
      <x:c r="V139" s="16" t="str"/>
      <x:c r="W139" s="16" t="str"/>
      <x:c r="X139" s="16" t="str"/>
      <x:c r="Y139" s="16" t="str"/>
      <x:c r="Z139" s="16" t="str"/>
      <x:c r="AA139" s="16" t="str"/>
      <x:c r="AB139" s="16" t="str"/>
      <x:c r="AC139" s="16" t="str"/>
      <x:c r="AD139" s="16" t="str"/>
      <x:c r="AE139" s="16" t="str"/>
      <x:c r="AF139" s="16" t="str"/>
      <x:c r="AG139" s="16" t="str"/>
      <x:c r="AH139" s="16" t="str"/>
      <x:c r="AI139" s="16" t="str"/>
      <x:c r="AJ139" s="16" t="str"/>
      <x:c r="AK139" s="16" t="str">
        <x:v>pending</x:v>
      </x:c>
      <x:c r="AL139" s="16" t="str"/>
      <x:c r="AM139" s="16" t="str"/>
      <x:c r="AN139" s="16" t="str"/>
      <x:c r="AO139" s="16" t="str"/>
      <x:c r="AP139" s="16" t="str">
        <x:v>pending</x:v>
      </x:c>
      <x:c r="AQ139" s="16" t="str">
        <x:v>Discovered from executable Expo Router tree; runtime coverage pending</x:v>
      </x:c>
    </x:row>
    <x:row r="140" ht="48" customHeight="1">
      <x:c r="A140" s="18" t="str">
        <x:v>ROUTE-108</x:v>
      </x:c>
      <x:c r="B140" s="16" t="str">
        <x:v>ROUTE-INVENTORY</x:v>
      </x:c>
      <x:c r="C140" s="16" t="str">
        <x:v>Reachable route coverage</x:v>
      </x:c>
      <x:c r="D140" s="16" t="str">
        <x:v>to classify</x:v>
      </x:c>
      <x:c r="E140" s="16" t="str">
        <x:v>app/roster/[athleteId]/add-to-session.tsx</x:v>
      </x:c>
      <x:c r="F140" s="16" t="str">
        <x:v>app/roster/[athleteId]/add-to-session.tsx</x:v>
      </x:c>
      <x:c r="G140" s="16" t="str">
        <x:v>inventory</x:v>
      </x:c>
      <x:c r="H140" s="16" t="str"/>
      <x:c r="I140" s="16" t="str">
        <x:v>staging</x:v>
      </x:c>
      <x:c r="J140" s="16" t="str"/>
      <x:c r="K140" s="16" t="str"/>
      <x:c r="L140" s="16" t="str"/>
      <x:c r="M140" s="16" t="str"/>
      <x:c r="N140" s="16" t="str"/>
      <x:c r="O140" s="16" t="str"/>
      <x:c r="P140" s="16" t="str"/>
      <x:c r="Q140" s="16" t="str"/>
      <x:c r="R140" s="16" t="str"/>
      <x:c r="S140" s="16" t="str"/>
      <x:c r="T140" s="16" t="str"/>
      <x:c r="U140" s="16" t="str"/>
      <x:c r="V140" s="16" t="str"/>
      <x:c r="W140" s="16" t="str"/>
      <x:c r="X140" s="16" t="str"/>
      <x:c r="Y140" s="16" t="str"/>
      <x:c r="Z140" s="16" t="str"/>
      <x:c r="AA140" s="16" t="str"/>
      <x:c r="AB140" s="16" t="str"/>
      <x:c r="AC140" s="16" t="str"/>
      <x:c r="AD140" s="16" t="str"/>
      <x:c r="AE140" s="16" t="str"/>
      <x:c r="AF140" s="16" t="str"/>
      <x:c r="AG140" s="16" t="str"/>
      <x:c r="AH140" s="16" t="str"/>
      <x:c r="AI140" s="16" t="str"/>
      <x:c r="AJ140" s="16" t="str"/>
      <x:c r="AK140" s="16" t="str">
        <x:v>pending</x:v>
      </x:c>
      <x:c r="AL140" s="16" t="str"/>
      <x:c r="AM140" s="16" t="str"/>
      <x:c r="AN140" s="16" t="str"/>
      <x:c r="AO140" s="16" t="str"/>
      <x:c r="AP140" s="16" t="str">
        <x:v>pending</x:v>
      </x:c>
      <x:c r="AQ140" s="16" t="str">
        <x:v>Discovered from executable Expo Router tree; runtime coverage pending</x:v>
      </x:c>
    </x:row>
    <x:row r="141" ht="48" customHeight="1">
      <x:c r="A141" s="18" t="str">
        <x:v>ROUTE-109</x:v>
      </x:c>
      <x:c r="B141" s="16" t="str">
        <x:v>ROUTE-INVENTORY</x:v>
      </x:c>
      <x:c r="C141" s="16" t="str">
        <x:v>Reachable route coverage</x:v>
      </x:c>
      <x:c r="D141" s="16" t="str">
        <x:v>to classify</x:v>
      </x:c>
      <x:c r="E141" s="16" t="str">
        <x:v>app/roster/[athleteId]/emergency.tsx</x:v>
      </x:c>
      <x:c r="F141" s="16" t="str">
        <x:v>app/roster/[athleteId]/emergency.tsx</x:v>
      </x:c>
      <x:c r="G141" s="16" t="str">
        <x:v>inventory</x:v>
      </x:c>
      <x:c r="H141" s="16" t="str"/>
      <x:c r="I141" s="16" t="str">
        <x:v>staging</x:v>
      </x:c>
      <x:c r="J141" s="16" t="str"/>
      <x:c r="K141" s="16" t="str"/>
      <x:c r="L141" s="16" t="str"/>
      <x:c r="M141" s="16" t="str"/>
      <x:c r="N141" s="16" t="str"/>
      <x:c r="O141" s="16" t="str"/>
      <x:c r="P141" s="16" t="str"/>
      <x:c r="Q141" s="16" t="str"/>
      <x:c r="R141" s="16" t="str"/>
      <x:c r="S141" s="16" t="str"/>
      <x:c r="T141" s="16" t="str"/>
      <x:c r="U141" s="16" t="str"/>
      <x:c r="V141" s="16" t="str"/>
      <x:c r="W141" s="16" t="str"/>
      <x:c r="X141" s="16" t="str"/>
      <x:c r="Y141" s="16" t="str"/>
      <x:c r="Z141" s="16" t="str"/>
      <x:c r="AA141" s="16" t="str"/>
      <x:c r="AB141" s="16" t="str"/>
      <x:c r="AC141" s="16" t="str"/>
      <x:c r="AD141" s="16" t="str"/>
      <x:c r="AE141" s="16" t="str"/>
      <x:c r="AF141" s="16" t="str"/>
      <x:c r="AG141" s="16" t="str"/>
      <x:c r="AH141" s="16" t="str"/>
      <x:c r="AI141" s="16" t="str"/>
      <x:c r="AJ141" s="16" t="str"/>
      <x:c r="AK141" s="16" t="str">
        <x:v>pending</x:v>
      </x:c>
      <x:c r="AL141" s="16" t="str"/>
      <x:c r="AM141" s="16" t="str"/>
      <x:c r="AN141" s="16" t="str"/>
      <x:c r="AO141" s="16" t="str"/>
      <x:c r="AP141" s="16" t="str">
        <x:v>pending</x:v>
      </x:c>
      <x:c r="AQ141" s="16" t="str">
        <x:v>Discovered from executable Expo Router tree; runtime coverage pending</x:v>
      </x:c>
    </x:row>
    <x:row r="142" ht="48" customHeight="1">
      <x:c r="A142" s="18" t="str">
        <x:v>ROUTE-110</x:v>
      </x:c>
      <x:c r="B142" s="16" t="str">
        <x:v>coach_health_review</x:v>
      </x:c>
      <x:c r="C142" s="16" t="str">
        <x:v>Coach opens athlete health review</x:v>
      </x:c>
      <x:c r="D142" s="16" t="str">
        <x:v>coach</x:v>
      </x:c>
      <x:c r="E142" s="16" t="str">
        <x:v>app/roster/[athleteId]/health.tsx</x:v>
      </x:c>
      <x:c r="F142" s="16" t="str">
        <x:v>app/roster/[athleteId]/health.tsx</x:v>
      </x:c>
      <x:c r="G142" s="16" t="str">
        <x:v>responsive route load and configured non-mutating assertions</x:v>
      </x:c>
      <x:c r="H142" s="16" t="str">
        <x:v>iPhone 16 Pro responsive browser viewport</x:v>
      </x:c>
      <x:c r="I142" s="16" t="str">
        <x:v>local Expo web bundle backed by staging API</x:v>
      </x:c>
      <x:c r="J142" s="16" t="str">
        <x:v>/roster/ath_7df7ec13-e136-7525-985f-dec069fc983f/health</x:v>
      </x:c>
      <x:c r="K142" s="16" t="str">
        <x:v>Authenticated seeded role account and linked staging dataset</x:v>
      </x:c>
      <x:c r="L142" s="16" t="str">
        <x:v>1</x:v>
      </x:c>
      <x:c r="M142" s="16" t="str">
        <x:v>coach_health_review</x:v>
      </x:c>
      <x:c r="N142" s="16" t="str">
        <x:v>Navigate directly and execute the flow runner assertions without submitting a product mutation</x:v>
      </x:c>
      <x:c r="O142" s="16" t="str">
        <x:v>Resolve the intended route without a failed request runtime exception shared error state nested button horizontal overflow or product-text finding</x:v>
      </x:c>
      <x:c r="P142" s="16" t="str">
        <x:v>1/1 mapped flows returned status ok and severity none at 390px</x:v>
      </x:c>
      <x:c r="Q142" s="16" t="str">
        <x:v>Browser-observed role-scoped route requests</x:v>
      </x:c>
      <x:c r="R142" s="16" t="str">
        <x:v>No failed request detected; exact endpoint-by-endpoint reconciliation remains a separate audit gap</x:v>
      </x:c>
      <x:c r="S142" s="16" t="str"/>
      <x:c r="T142" s="16" t="str"/>
      <x:c r="U142" s="16" t="str">
        <x:v>No database mutation executed by this route-load regression</x:v>
      </x:c>
      <x:c r="V142" s="16" t="str">
        <x:v>Not directly exercised in this route-load regression</x:v>
      </x:c>
      <x:c r="W142" s="16" t="str">
        <x:v>Not reconciled in this route-load regression</x:v>
      </x:c>
      <x:c r="X142" s="16" t="str"/>
      <x:c r="Y142" s="16" t="str">
        <x:v>Sentry API unavailable; runner detected no runtime exception or console error classified as high or medium</x:v>
      </x:c>
      <x:c r="Z142" s="16" t="str">
        <x:v>coach</x:v>
      </x:c>
      <x:c r="AA142" s="16" t="str">
        <x:v>coach mapped route flow passed</x:v>
      </x:c>
      <x:c r="AB142" s="16" t="str">
        <x:v>automated route pass; manual visual corpus tracked separately</x:v>
      </x:c>
      <x:c r="AC142" s="16" t="str">
        <x:v>configured actions passed where present; otherwise route-load only</x:v>
      </x:c>
      <x:c r="AD142" s="16" t="str">
        <x:v>no automated high or medium finding</x:v>
      </x:c>
      <x:c r="AE142" s="16" t="str">
        <x:v>0 product-text findings</x:v>
      </x:c>
      <x:c r="AF142" s="16" t="str">
        <x:v>0 product-text findings</x:v>
      </x:c>
      <x:c r="AG142" s="16" t="str">
        <x:v>Shared React Native surface passed responsive runtime; native interaction remains blocked by host DevToolsSecurity</x:v>
      </x:c>
      <x:c r="AH142" s="16" t="str">
        <x:v>football product route</x:v>
      </x:c>
      <x:c r="AI142" s="16" t="str">
        <x:v>390px viewport with 0 horizontal overflow</x:v>
      </x:c>
      <x:c r="AJ142" s="16" t="str">
        <x:v>0 nested buttons; native semantic tree and VoiceOver remain unverified</x:v>
      </x:c>
      <x:c r="AK142" s="16" t="str">
        <x:v>passed</x:v>
      </x:c>
      <x:c r="AL142" s="16" t="str"/>
      <x:c r="AM142" s="16" t="str">
        <x:v>reviews/ios-native-audit/runtime/2026-07-31/report.merged.json</x:v>
      </x:c>
      <x:c r="AN142" s="16" t="str"/>
      <x:c r="AO142" s="16" t="str">
        <x:v>chore(audit): reconcile responsive route evidence</x:v>
      </x:c>
      <x:c r="AP142" s="16" t="str">
        <x:v>1/1 fresh mapped flows passed on 2026-07-31</x:v>
      </x:c>
      <x:c r="AQ142" s="16" t="str">
        <x:v>Non-destructive responsive route evidence only; exact API request IDs database RLS audit-event and native checks remain explicit separate gaps</x:v>
      </x:c>
    </x:row>
    <x:row r="143" ht="48" customHeight="1">
      <x:c r="A143" s="18" t="str">
        <x:v>ROUTE-111</x:v>
      </x:c>
      <x:c r="B143" s="16" t="str">
        <x:v>ROUTE-INVENTORY</x:v>
      </x:c>
      <x:c r="C143" s="16" t="str">
        <x:v>Reachable route coverage</x:v>
      </x:c>
      <x:c r="D143" s="16" t="str">
        <x:v>to classify</x:v>
      </x:c>
      <x:c r="E143" s="16" t="str">
        <x:v>app/roster/[athleteId]/index.tsx</x:v>
      </x:c>
      <x:c r="F143" s="16" t="str">
        <x:v>app/roster/[athleteId]/index.tsx</x:v>
      </x:c>
      <x:c r="G143" s="16" t="str">
        <x:v>inventory</x:v>
      </x:c>
      <x:c r="H143" s="16" t="str"/>
      <x:c r="I143" s="16" t="str">
        <x:v>staging</x:v>
      </x:c>
      <x:c r="J143" s="16" t="str"/>
      <x:c r="K143" s="16" t="str"/>
      <x:c r="L143" s="16" t="str"/>
      <x:c r="M143" s="16" t="str"/>
      <x:c r="N143" s="16" t="str"/>
      <x:c r="O143" s="16" t="str"/>
      <x:c r="P143" s="16" t="str"/>
      <x:c r="Q143" s="16" t="str"/>
      <x:c r="R143" s="16" t="str"/>
      <x:c r="S143" s="16" t="str"/>
      <x:c r="T143" s="16" t="str"/>
      <x:c r="U143" s="16" t="str"/>
      <x:c r="V143" s="16" t="str"/>
      <x:c r="W143" s="16" t="str"/>
      <x:c r="X143" s="16" t="str"/>
      <x:c r="Y143" s="16" t="str"/>
      <x:c r="Z143" s="16" t="str"/>
      <x:c r="AA143" s="16" t="str"/>
      <x:c r="AB143" s="16" t="str"/>
      <x:c r="AC143" s="16" t="str"/>
      <x:c r="AD143" s="16" t="str"/>
      <x:c r="AE143" s="16" t="str"/>
      <x:c r="AF143" s="16" t="str"/>
      <x:c r="AG143" s="16" t="str"/>
      <x:c r="AH143" s="16" t="str"/>
      <x:c r="AI143" s="16" t="str"/>
      <x:c r="AJ143" s="16" t="str"/>
      <x:c r="AK143" s="16" t="str">
        <x:v>pending</x:v>
      </x:c>
      <x:c r="AL143" s="16" t="str"/>
      <x:c r="AM143" s="16" t="str"/>
      <x:c r="AN143" s="16" t="str"/>
      <x:c r="AO143" s="16" t="str"/>
      <x:c r="AP143" s="16" t="str">
        <x:v>pending</x:v>
      </x:c>
      <x:c r="AQ143" s="16" t="str">
        <x:v>Discovered from executable Expo Router tree; runtime coverage pending</x:v>
      </x:c>
    </x:row>
    <x:row r="144" ht="48" customHeight="1">
      <x:c r="A144" s="18" t="str">
        <x:v>ROUTE-112</x:v>
      </x:c>
      <x:c r="B144" s="16" t="str">
        <x:v>coach_raise_concern</x:v>
      </x:c>
      <x:c r="C144" s="16" t="str">
        <x:v>Coach opens raise concern form</x:v>
      </x:c>
      <x:c r="D144" s="16" t="str">
        <x:v>coach</x:v>
      </x:c>
      <x:c r="E144" s="16" t="str">
        <x:v>app/roster/[athleteId]/raise-concern.tsx</x:v>
      </x:c>
      <x:c r="F144" s="16" t="str">
        <x:v>app/roster/[athleteId]/raise-concern.tsx</x:v>
      </x:c>
      <x:c r="G144" s="16" t="str">
        <x:v>responsive route load and configured non-mutating assertions</x:v>
      </x:c>
      <x:c r="H144" s="16" t="str">
        <x:v>iPhone 16 Pro responsive browser viewport</x:v>
      </x:c>
      <x:c r="I144" s="16" t="str">
        <x:v>local Expo web bundle backed by staging API</x:v>
      </x:c>
      <x:c r="J144" s="16" t="str">
        <x:v>/roster/ath_7df7ec13-e136-7525-985f-dec069fc983f/raise-concern</x:v>
      </x:c>
      <x:c r="K144" s="16" t="str">
        <x:v>Authenticated seeded role account and linked staging dataset</x:v>
      </x:c>
      <x:c r="L144" s="16" t="str">
        <x:v>1</x:v>
      </x:c>
      <x:c r="M144" s="16" t="str">
        <x:v>coach_raise_concern</x:v>
      </x:c>
      <x:c r="N144" s="16" t="str">
        <x:v>Navigate directly and execute the flow runner assertions without submitting a product mutation</x:v>
      </x:c>
      <x:c r="O144" s="16" t="str">
        <x:v>Resolve the intended route without a failed request runtime exception shared error state nested button horizontal overflow or product-text finding</x:v>
      </x:c>
      <x:c r="P144" s="16" t="str">
        <x:v>1/1 mapped flows returned status ok and severity none at 390px</x:v>
      </x:c>
      <x:c r="Q144" s="16" t="str">
        <x:v>Browser-observed role-scoped route requests</x:v>
      </x:c>
      <x:c r="R144" s="16" t="str">
        <x:v>No failed request detected; exact endpoint-by-endpoint reconciliation remains a separate audit gap</x:v>
      </x:c>
      <x:c r="S144" s="16" t="str"/>
      <x:c r="T144" s="16" t="str"/>
      <x:c r="U144" s="16" t="str">
        <x:v>No database mutation executed by this route-load regression</x:v>
      </x:c>
      <x:c r="V144" s="16" t="str">
        <x:v>Not directly exercised in this route-load regression</x:v>
      </x:c>
      <x:c r="W144" s="16" t="str">
        <x:v>Not reconciled in this route-load regression</x:v>
      </x:c>
      <x:c r="X144" s="16" t="str"/>
      <x:c r="Y144" s="16" t="str">
        <x:v>Sentry API unavailable; runner detected no runtime exception or console error classified as high or medium</x:v>
      </x:c>
      <x:c r="Z144" s="16" t="str">
        <x:v>coach</x:v>
      </x:c>
      <x:c r="AA144" s="16" t="str">
        <x:v>coach mapped route flow passed</x:v>
      </x:c>
      <x:c r="AB144" s="16" t="str">
        <x:v>automated route pass; manual visual corpus tracked separately</x:v>
      </x:c>
      <x:c r="AC144" s="16" t="str">
        <x:v>configured actions passed where present; otherwise route-load only</x:v>
      </x:c>
      <x:c r="AD144" s="16" t="str">
        <x:v>no automated high or medium finding</x:v>
      </x:c>
      <x:c r="AE144" s="16" t="str">
        <x:v>0 product-text findings</x:v>
      </x:c>
      <x:c r="AF144" s="16" t="str">
        <x:v>0 product-text findings</x:v>
      </x:c>
      <x:c r="AG144" s="16" t="str">
        <x:v>Shared React Native surface passed responsive runtime; native interaction remains blocked by host DevToolsSecurity</x:v>
      </x:c>
      <x:c r="AH144" s="16" t="str">
        <x:v>football product route</x:v>
      </x:c>
      <x:c r="AI144" s="16" t="str">
        <x:v>390px viewport with 0 horizontal overflow</x:v>
      </x:c>
      <x:c r="AJ144" s="16" t="str">
        <x:v>0 nested buttons; native semantic tree and VoiceOver remain unverified</x:v>
      </x:c>
      <x:c r="AK144" s="16" t="str">
        <x:v>passed</x:v>
      </x:c>
      <x:c r="AL144" s="16" t="str"/>
      <x:c r="AM144" s="16" t="str">
        <x:v>reviews/ios-native-audit/runtime/2026-07-31/report.merged.json</x:v>
      </x:c>
      <x:c r="AN144" s="16" t="str"/>
      <x:c r="AO144" s="16" t="str">
        <x:v>chore(audit): reconcile responsive route evidence</x:v>
      </x:c>
      <x:c r="AP144" s="16" t="str">
        <x:v>1/1 fresh mapped flows passed on 2026-07-31</x:v>
      </x:c>
      <x:c r="AQ144" s="16" t="str">
        <x:v>Non-destructive responsive route evidence only; exact API request IDs database RLS audit-event and native checks remain explicit separate gaps</x:v>
      </x:c>
    </x:row>
    <x:row r="145" ht="48" customHeight="1">
      <x:c r="A145" s="18" t="str">
        <x:v>ROUTE-113</x:v>
      </x:c>
      <x:c r="B145" s="16" t="str">
        <x:v>ROUTE-INVENTORY</x:v>
      </x:c>
      <x:c r="C145" s="16" t="str">
        <x:v>Reachable route coverage</x:v>
      </x:c>
      <x:c r="D145" s="16" t="str">
        <x:v>to classify</x:v>
      </x:c>
      <x:c r="E145" s="16" t="str">
        <x:v>app/roster/consents.tsx</x:v>
      </x:c>
      <x:c r="F145" s="16" t="str">
        <x:v>app/roster/consents.tsx</x:v>
      </x:c>
      <x:c r="G145" s="16" t="str">
        <x:v>inventory</x:v>
      </x:c>
      <x:c r="H145" s="16" t="str"/>
      <x:c r="I145" s="16" t="str">
        <x:v>staging</x:v>
      </x:c>
      <x:c r="J145" s="16" t="str"/>
      <x:c r="K145" s="16" t="str"/>
      <x:c r="L145" s="16" t="str"/>
      <x:c r="M145" s="16" t="str"/>
      <x:c r="N145" s="16" t="str"/>
      <x:c r="O145" s="16" t="str"/>
      <x:c r="P145" s="16" t="str"/>
      <x:c r="Q145" s="16" t="str"/>
      <x:c r="R145" s="16" t="str"/>
      <x:c r="S145" s="16" t="str"/>
      <x:c r="T145" s="16" t="str"/>
      <x:c r="U145" s="16" t="str"/>
      <x:c r="V145" s="16" t="str"/>
      <x:c r="W145" s="16" t="str"/>
      <x:c r="X145" s="16" t="str"/>
      <x:c r="Y145" s="16" t="str"/>
      <x:c r="Z145" s="16" t="str"/>
      <x:c r="AA145" s="16" t="str"/>
      <x:c r="AB145" s="16" t="str"/>
      <x:c r="AC145" s="16" t="str"/>
      <x:c r="AD145" s="16" t="str"/>
      <x:c r="AE145" s="16" t="str"/>
      <x:c r="AF145" s="16" t="str"/>
      <x:c r="AG145" s="16" t="str"/>
      <x:c r="AH145" s="16" t="str"/>
      <x:c r="AI145" s="16" t="str"/>
      <x:c r="AJ145" s="16" t="str"/>
      <x:c r="AK145" s="16" t="str">
        <x:v>pending</x:v>
      </x:c>
      <x:c r="AL145" s="16" t="str"/>
      <x:c r="AM145" s="16" t="str"/>
      <x:c r="AN145" s="16" t="str"/>
      <x:c r="AO145" s="16" t="str"/>
      <x:c r="AP145" s="16" t="str">
        <x:v>pending</x:v>
      </x:c>
      <x:c r="AQ145" s="16" t="str">
        <x:v>Discovered from executable Expo Router tree; runtime coverage pending</x:v>
      </x:c>
    </x:row>
    <x:row r="146" ht="48" customHeight="1">
      <x:c r="A146" s="18" t="str">
        <x:v>ROUTE-114</x:v>
      </x:c>
      <x:c r="B146" s="16" t="str">
        <x:v>ROUTE-INVENTORY</x:v>
      </x:c>
      <x:c r="C146" s="16" t="str">
        <x:v>Reachable route coverage</x:v>
      </x:c>
      <x:c r="D146" s="16" t="str">
        <x:v>to classify</x:v>
      </x:c>
      <x:c r="E146" s="16" t="str">
        <x:v>app/roster/index.tsx</x:v>
      </x:c>
      <x:c r="F146" s="16" t="str">
        <x:v>app/roster/index.tsx</x:v>
      </x:c>
      <x:c r="G146" s="16" t="str">
        <x:v>inventory</x:v>
      </x:c>
      <x:c r="H146" s="16" t="str"/>
      <x:c r="I146" s="16" t="str">
        <x:v>staging</x:v>
      </x:c>
      <x:c r="J146" s="16" t="str"/>
      <x:c r="K146" s="16" t="str"/>
      <x:c r="L146" s="16" t="str"/>
      <x:c r="M146" s="16" t="str"/>
      <x:c r="N146" s="16" t="str"/>
      <x:c r="O146" s="16" t="str"/>
      <x:c r="P146" s="16" t="str"/>
      <x:c r="Q146" s="16" t="str"/>
      <x:c r="R146" s="16" t="str"/>
      <x:c r="S146" s="16" t="str"/>
      <x:c r="T146" s="16" t="str"/>
      <x:c r="U146" s="16" t="str"/>
      <x:c r="V146" s="16" t="str"/>
      <x:c r="W146" s="16" t="str"/>
      <x:c r="X146" s="16" t="str"/>
      <x:c r="Y146" s="16" t="str"/>
      <x:c r="Z146" s="16" t="str"/>
      <x:c r="AA146" s="16" t="str"/>
      <x:c r="AB146" s="16" t="str"/>
      <x:c r="AC146" s="16" t="str"/>
      <x:c r="AD146" s="16" t="str"/>
      <x:c r="AE146" s="16" t="str"/>
      <x:c r="AF146" s="16" t="str"/>
      <x:c r="AG146" s="16" t="str"/>
      <x:c r="AH146" s="16" t="str"/>
      <x:c r="AI146" s="16" t="str"/>
      <x:c r="AJ146" s="16" t="str"/>
      <x:c r="AK146" s="16" t="str">
        <x:v>pending</x:v>
      </x:c>
      <x:c r="AL146" s="16" t="str"/>
      <x:c r="AM146" s="16" t="str"/>
      <x:c r="AN146" s="16" t="str"/>
      <x:c r="AO146" s="16" t="str"/>
      <x:c r="AP146" s="16" t="str">
        <x:v>pending</x:v>
      </x:c>
      <x:c r="AQ146" s="16" t="str">
        <x:v>Discovered from executable Expo Router tree; runtime coverage pending</x:v>
      </x:c>
    </x:row>
    <x:row r="147" ht="48" customHeight="1">
      <x:c r="A147" s="18" t="str">
        <x:v>ROUTE-115</x:v>
      </x:c>
      <x:c r="B147" s="16" t="str">
        <x:v>ROUTE-INVENTORY</x:v>
      </x:c>
      <x:c r="C147" s="16" t="str">
        <x:v>Reachable route coverage</x:v>
      </x:c>
      <x:c r="D147" s="16" t="str">
        <x:v>to classify</x:v>
      </x:c>
      <x:c r="E147" s="16" t="str">
        <x:v>app/session-invites/[id].tsx</x:v>
      </x:c>
      <x:c r="F147" s="16" t="str">
        <x:v>app/session-invites/[id].tsx</x:v>
      </x:c>
      <x:c r="G147" s="16" t="str">
        <x:v>inventory</x:v>
      </x:c>
      <x:c r="H147" s="16" t="str"/>
      <x:c r="I147" s="16" t="str">
        <x:v>staging</x:v>
      </x:c>
      <x:c r="J147" s="16" t="str"/>
      <x:c r="K147" s="16" t="str"/>
      <x:c r="L147" s="16" t="str"/>
      <x:c r="M147" s="16" t="str"/>
      <x:c r="N147" s="16" t="str"/>
      <x:c r="O147" s="16" t="str"/>
      <x:c r="P147" s="16" t="str"/>
      <x:c r="Q147" s="16" t="str"/>
      <x:c r="R147" s="16" t="str"/>
      <x:c r="S147" s="16" t="str"/>
      <x:c r="T147" s="16" t="str"/>
      <x:c r="U147" s="16" t="str"/>
      <x:c r="V147" s="16" t="str"/>
      <x:c r="W147" s="16" t="str"/>
      <x:c r="X147" s="16" t="str"/>
      <x:c r="Y147" s="16" t="str"/>
      <x:c r="Z147" s="16" t="str"/>
      <x:c r="AA147" s="16" t="str"/>
      <x:c r="AB147" s="16" t="str"/>
      <x:c r="AC147" s="16" t="str"/>
      <x:c r="AD147" s="16" t="str"/>
      <x:c r="AE147" s="16" t="str"/>
      <x:c r="AF147" s="16" t="str"/>
      <x:c r="AG147" s="16" t="str"/>
      <x:c r="AH147" s="16" t="str"/>
      <x:c r="AI147" s="16" t="str"/>
      <x:c r="AJ147" s="16" t="str"/>
      <x:c r="AK147" s="16" t="str">
        <x:v>pending</x:v>
      </x:c>
      <x:c r="AL147" s="16" t="str"/>
      <x:c r="AM147" s="16" t="str"/>
      <x:c r="AN147" s="16" t="str"/>
      <x:c r="AO147" s="16" t="str"/>
      <x:c r="AP147" s="16" t="str">
        <x:v>pending</x:v>
      </x:c>
      <x:c r="AQ147" s="16" t="str">
        <x:v>Discovered from executable Expo Router tree; runtime coverage pending</x:v>
      </x:c>
    </x:row>
    <x:row r="148" ht="48" customHeight="1">
      <x:c r="A148" s="18" t="str">
        <x:v>ROUTE-116</x:v>
      </x:c>
      <x:c r="B148" s="16" t="str">
        <x:v>coach_session_invites_create_redirect</x:v>
      </x:c>
      <x:c r="C148" s="16" t="str">
        <x:v>Coach hits invite redirect</x:v>
      </x:c>
      <x:c r="D148" s="16" t="str">
        <x:v>coach</x:v>
      </x:c>
      <x:c r="E148" s="16" t="str">
        <x:v>app/session-invites/create.tsx</x:v>
      </x:c>
      <x:c r="F148" s="16" t="str">
        <x:v>app/session-invites/create.tsx</x:v>
      </x:c>
      <x:c r="G148" s="16" t="str">
        <x:v>responsive route load and configured non-mutating assertions</x:v>
      </x:c>
      <x:c r="H148" s="16" t="str">
        <x:v>iPhone 16 Pro responsive browser viewport</x:v>
      </x:c>
      <x:c r="I148" s="16" t="str">
        <x:v>local Expo web bundle backed by staging API</x:v>
      </x:c>
      <x:c r="J148" s="16" t="str">
        <x:v>/session-invites/create</x:v>
      </x:c>
      <x:c r="K148" s="16" t="str">
        <x:v>Authenticated seeded role account and linked staging dataset</x:v>
      </x:c>
      <x:c r="L148" s="16" t="str">
        <x:v>1</x:v>
      </x:c>
      <x:c r="M148" s="16" t="str">
        <x:v>coach_session_invites_create_redirect</x:v>
      </x:c>
      <x:c r="N148" s="16" t="str">
        <x:v>Navigate directly and execute the flow runner assertions without submitting a product mutation</x:v>
      </x:c>
      <x:c r="O148" s="16" t="str">
        <x:v>Resolve the intended route without a failed request runtime exception shared error state nested button horizontal overflow or product-text finding</x:v>
      </x:c>
      <x:c r="P148" s="16" t="str">
        <x:v>1/1 mapped flows returned status ok and severity none at 390px</x:v>
      </x:c>
      <x:c r="Q148" s="16" t="str">
        <x:v>Browser-observed role-scoped route requests</x:v>
      </x:c>
      <x:c r="R148" s="16" t="str">
        <x:v>No failed request detected; exact endpoint-by-endpoint reconciliation remains a separate audit gap</x:v>
      </x:c>
      <x:c r="S148" s="16" t="str"/>
      <x:c r="T148" s="16" t="str"/>
      <x:c r="U148" s="16" t="str">
        <x:v>No database mutation executed by this route-load regression</x:v>
      </x:c>
      <x:c r="V148" s="16" t="str">
        <x:v>Not directly exercised in this route-load regression</x:v>
      </x:c>
      <x:c r="W148" s="16" t="str">
        <x:v>Not reconciled in this route-load regression</x:v>
      </x:c>
      <x:c r="X148" s="16" t="str"/>
      <x:c r="Y148" s="16" t="str">
        <x:v>Sentry API unavailable; runner detected no runtime exception or console error classified as high or medium</x:v>
      </x:c>
      <x:c r="Z148" s="16" t="str">
        <x:v>coach</x:v>
      </x:c>
      <x:c r="AA148" s="16" t="str">
        <x:v>coach mapped route flow passed</x:v>
      </x:c>
      <x:c r="AB148" s="16" t="str">
        <x:v>automated route pass; manual visual corpus tracked separately</x:v>
      </x:c>
      <x:c r="AC148" s="16" t="str">
        <x:v>configured actions passed where present; otherwise route-load only</x:v>
      </x:c>
      <x:c r="AD148" s="16" t="str">
        <x:v>no automated high or medium finding</x:v>
      </x:c>
      <x:c r="AE148" s="16" t="str">
        <x:v>0 product-text findings</x:v>
      </x:c>
      <x:c r="AF148" s="16" t="str">
        <x:v>0 product-text findings</x:v>
      </x:c>
      <x:c r="AG148" s="16" t="str">
        <x:v>Shared React Native surface passed responsive runtime; native interaction remains blocked by host DevToolsSecurity</x:v>
      </x:c>
      <x:c r="AH148" s="16" t="str">
        <x:v>football product route</x:v>
      </x:c>
      <x:c r="AI148" s="16" t="str">
        <x:v>390px viewport with 0 horizontal overflow</x:v>
      </x:c>
      <x:c r="AJ148" s="16" t="str">
        <x:v>0 nested buttons; native semantic tree and VoiceOver remain unverified</x:v>
      </x:c>
      <x:c r="AK148" s="16" t="str">
        <x:v>passed</x:v>
      </x:c>
      <x:c r="AL148" s="16" t="str"/>
      <x:c r="AM148" s="16" t="str">
        <x:v>reviews/ios-native-audit/runtime/2026-07-31/report.merged.json</x:v>
      </x:c>
      <x:c r="AN148" s="16" t="str"/>
      <x:c r="AO148" s="16" t="str">
        <x:v>chore(audit): reconcile responsive route evidence</x:v>
      </x:c>
      <x:c r="AP148" s="16" t="str">
        <x:v>1/1 fresh mapped flows passed on 2026-07-31</x:v>
      </x:c>
      <x:c r="AQ148" s="16" t="str">
        <x:v>Non-destructive responsive route evidence only; exact API request IDs database RLS audit-event and native checks remain explicit separate gaps</x:v>
      </x:c>
    </x:row>
    <x:row r="149" ht="48" customHeight="1">
      <x:c r="A149" s="18" t="str">
        <x:v>ROUTE-117</x:v>
      </x:c>
      <x:c r="B149" s="16" t="str">
        <x:v>ROUTE-INVENTORY</x:v>
      </x:c>
      <x:c r="C149" s="16" t="str">
        <x:v>Reachable route coverage</x:v>
      </x:c>
      <x:c r="D149" s="16" t="str">
        <x:v>to classify</x:v>
      </x:c>
      <x:c r="E149" s="16" t="str">
        <x:v>app/session-invites/group.tsx</x:v>
      </x:c>
      <x:c r="F149" s="16" t="str">
        <x:v>app/session-invites/group.tsx</x:v>
      </x:c>
      <x:c r="G149" s="16" t="str">
        <x:v>inventory</x:v>
      </x:c>
      <x:c r="H149" s="16" t="str"/>
      <x:c r="I149" s="16" t="str">
        <x:v>staging</x:v>
      </x:c>
      <x:c r="J149" s="16" t="str"/>
      <x:c r="K149" s="16" t="str"/>
      <x:c r="L149" s="16" t="str"/>
      <x:c r="M149" s="16" t="str"/>
      <x:c r="N149" s="16" t="str"/>
      <x:c r="O149" s="16" t="str"/>
      <x:c r="P149" s="16" t="str"/>
      <x:c r="Q149" s="16" t="str"/>
      <x:c r="R149" s="16" t="str"/>
      <x:c r="S149" s="16" t="str"/>
      <x:c r="T149" s="16" t="str"/>
      <x:c r="U149" s="16" t="str"/>
      <x:c r="V149" s="16" t="str"/>
      <x:c r="W149" s="16" t="str"/>
      <x:c r="X149" s="16" t="str"/>
      <x:c r="Y149" s="16" t="str"/>
      <x:c r="Z149" s="16" t="str"/>
      <x:c r="AA149" s="16" t="str"/>
      <x:c r="AB149" s="16" t="str"/>
      <x:c r="AC149" s="16" t="str"/>
      <x:c r="AD149" s="16" t="str"/>
      <x:c r="AE149" s="16" t="str"/>
      <x:c r="AF149" s="16" t="str"/>
      <x:c r="AG149" s="16" t="str"/>
      <x:c r="AH149" s="16" t="str"/>
      <x:c r="AI149" s="16" t="str"/>
      <x:c r="AJ149" s="16" t="str"/>
      <x:c r="AK149" s="16" t="str">
        <x:v>pending</x:v>
      </x:c>
      <x:c r="AL149" s="16" t="str"/>
      <x:c r="AM149" s="16" t="str"/>
      <x:c r="AN149" s="16" t="str"/>
      <x:c r="AO149" s="16" t="str"/>
      <x:c r="AP149" s="16" t="str">
        <x:v>pending</x:v>
      </x:c>
      <x:c r="AQ149" s="16" t="str">
        <x:v>Discovered from executable Expo Router tree; runtime coverage pending</x:v>
      </x:c>
    </x:row>
    <x:row r="150" ht="48" customHeight="1">
      <x:c r="A150" s="18" t="str">
        <x:v>ROUTE-118</x:v>
      </x:c>
      <x:c r="B150" s="16" t="str">
        <x:v>coach_session_invites</x:v>
      </x:c>
      <x:c r="C150" s="16" t="str">
        <x:v>Coach opens invite inbox</x:v>
      </x:c>
      <x:c r="D150" s="16" t="str">
        <x:v>coach</x:v>
      </x:c>
      <x:c r="E150" s="16" t="str">
        <x:v>app/session-invites/index.tsx</x:v>
      </x:c>
      <x:c r="F150" s="16" t="str">
        <x:v>app/session-invites/index.tsx</x:v>
      </x:c>
      <x:c r="G150" s="16" t="str">
        <x:v>responsive route load and configured non-mutating assertions</x:v>
      </x:c>
      <x:c r="H150" s="16" t="str">
        <x:v>iPhone 16 Pro responsive browser viewport</x:v>
      </x:c>
      <x:c r="I150" s="16" t="str">
        <x:v>local Expo web bundle backed by staging API</x:v>
      </x:c>
      <x:c r="J150" s="16" t="str">
        <x:v>/session-invites</x:v>
      </x:c>
      <x:c r="K150" s="16" t="str">
        <x:v>Authenticated seeded role account and linked staging dataset</x:v>
      </x:c>
      <x:c r="L150" s="16" t="str">
        <x:v>1</x:v>
      </x:c>
      <x:c r="M150" s="16" t="str">
        <x:v>coach_session_invites</x:v>
      </x:c>
      <x:c r="N150" s="16" t="str">
        <x:v>Navigate directly and execute the flow runner assertions without submitting a product mutation</x:v>
      </x:c>
      <x:c r="O150" s="16" t="str">
        <x:v>Resolve the intended route without a failed request runtime exception shared error state nested button horizontal overflow or product-text finding</x:v>
      </x:c>
      <x:c r="P150" s="16" t="str">
        <x:v>1/1 mapped flows returned status ok and severity none at 390px</x:v>
      </x:c>
      <x:c r="Q150" s="16" t="str">
        <x:v>Browser-observed role-scoped route requests</x:v>
      </x:c>
      <x:c r="R150" s="16" t="str">
        <x:v>No failed request detected; exact endpoint-by-endpoint reconciliation remains a separate audit gap</x:v>
      </x:c>
      <x:c r="S150" s="16" t="str"/>
      <x:c r="T150" s="16" t="str"/>
      <x:c r="U150" s="16" t="str">
        <x:v>No database mutation executed by this route-load regression</x:v>
      </x:c>
      <x:c r="V150" s="16" t="str">
        <x:v>Not directly exercised in this route-load regression</x:v>
      </x:c>
      <x:c r="W150" s="16" t="str">
        <x:v>Not reconciled in this route-load regression</x:v>
      </x:c>
      <x:c r="X150" s="16" t="str"/>
      <x:c r="Y150" s="16" t="str">
        <x:v>Sentry API unavailable; runner detected no runtime exception or console error classified as high or medium</x:v>
      </x:c>
      <x:c r="Z150" s="16" t="str">
        <x:v>coach</x:v>
      </x:c>
      <x:c r="AA150" s="16" t="str">
        <x:v>coach mapped route flow passed</x:v>
      </x:c>
      <x:c r="AB150" s="16" t="str">
        <x:v>automated route pass; manual visual corpus tracked separately</x:v>
      </x:c>
      <x:c r="AC150" s="16" t="str">
        <x:v>configured actions passed where present; otherwise route-load only</x:v>
      </x:c>
      <x:c r="AD150" s="16" t="str">
        <x:v>no automated high or medium finding</x:v>
      </x:c>
      <x:c r="AE150" s="16" t="str">
        <x:v>0 product-text findings</x:v>
      </x:c>
      <x:c r="AF150" s="16" t="str">
        <x:v>0 product-text findings</x:v>
      </x:c>
      <x:c r="AG150" s="16" t="str">
        <x:v>Shared React Native surface passed responsive runtime; native interaction remains blocked by host DevToolsSecurity</x:v>
      </x:c>
      <x:c r="AH150" s="16" t="str">
        <x:v>football product route</x:v>
      </x:c>
      <x:c r="AI150" s="16" t="str">
        <x:v>390px viewport with 0 horizontal overflow</x:v>
      </x:c>
      <x:c r="AJ150" s="16" t="str">
        <x:v>0 nested buttons; native semantic tree and VoiceOver remain unverified</x:v>
      </x:c>
      <x:c r="AK150" s="16" t="str">
        <x:v>passed</x:v>
      </x:c>
      <x:c r="AL150" s="16" t="str"/>
      <x:c r="AM150" s="16" t="str">
        <x:v>reviews/ios-native-audit/runtime/2026-07-31/report.merged.json</x:v>
      </x:c>
      <x:c r="AN150" s="16" t="str"/>
      <x:c r="AO150" s="16" t="str">
        <x:v>chore(audit): reconcile responsive route evidence</x:v>
      </x:c>
      <x:c r="AP150" s="16" t="str">
        <x:v>1/1 fresh mapped flows passed on 2026-07-31</x:v>
      </x:c>
      <x:c r="AQ150" s="16" t="str">
        <x:v>Non-destructive responsive route evidence only; exact API request IDs database RLS audit-event and native checks remain explicit separate gaps</x:v>
      </x:c>
    </x:row>
    <x:row r="151" ht="48" customHeight="1">
      <x:c r="A151" s="18" t="str">
        <x:v>ROUTE-119</x:v>
      </x:c>
      <x:c r="B151" s="16" t="str">
        <x:v>ROUTE-INVENTORY</x:v>
      </x:c>
      <x:c r="C151" s="16" t="str">
        <x:v>Reachable route coverage</x:v>
      </x:c>
      <x:c r="D151" s="16" t="str">
        <x:v>to classify</x:v>
      </x:c>
      <x:c r="E151" s="16" t="str">
        <x:v>app/session-notes/[bookingId].tsx</x:v>
      </x:c>
      <x:c r="F151" s="16" t="str">
        <x:v>app/session-notes/[bookingId].tsx</x:v>
      </x:c>
      <x:c r="G151" s="16" t="str">
        <x:v>inventory</x:v>
      </x:c>
      <x:c r="H151" s="16" t="str"/>
      <x:c r="I151" s="16" t="str">
        <x:v>staging</x:v>
      </x:c>
      <x:c r="J151" s="16" t="str"/>
      <x:c r="K151" s="16" t="str"/>
      <x:c r="L151" s="16" t="str"/>
      <x:c r="M151" s="16" t="str"/>
      <x:c r="N151" s="16" t="str"/>
      <x:c r="O151" s="16" t="str"/>
      <x:c r="P151" s="16" t="str"/>
      <x:c r="Q151" s="16" t="str"/>
      <x:c r="R151" s="16" t="str"/>
      <x:c r="S151" s="16" t="str"/>
      <x:c r="T151" s="16" t="str"/>
      <x:c r="U151" s="16" t="str"/>
      <x:c r="V151" s="16" t="str"/>
      <x:c r="W151" s="16" t="str"/>
      <x:c r="X151" s="16" t="str"/>
      <x:c r="Y151" s="16" t="str"/>
      <x:c r="Z151" s="16" t="str"/>
      <x:c r="AA151" s="16" t="str"/>
      <x:c r="AB151" s="16" t="str"/>
      <x:c r="AC151" s="16" t="str"/>
      <x:c r="AD151" s="16" t="str"/>
      <x:c r="AE151" s="16" t="str"/>
      <x:c r="AF151" s="16" t="str"/>
      <x:c r="AG151" s="16" t="str"/>
      <x:c r="AH151" s="16" t="str"/>
      <x:c r="AI151" s="16" t="str"/>
      <x:c r="AJ151" s="16" t="str"/>
      <x:c r="AK151" s="16" t="str">
        <x:v>pending</x:v>
      </x:c>
      <x:c r="AL151" s="16" t="str"/>
      <x:c r="AM151" s="16" t="str"/>
      <x:c r="AN151" s="16" t="str"/>
      <x:c r="AO151" s="16" t="str"/>
      <x:c r="AP151" s="16" t="str">
        <x:v>pending</x:v>
      </x:c>
      <x:c r="AQ151" s="16" t="str">
        <x:v>Discovered from executable Expo Router tree; runtime coverage pending</x:v>
      </x:c>
    </x:row>
    <x:row r="152" ht="48" customHeight="1">
      <x:c r="A152" s="18" t="str">
        <x:v>ROUTE-120</x:v>
      </x:c>
      <x:c r="B152" s="16" t="str">
        <x:v>ROUTE-INVENTORY</x:v>
      </x:c>
      <x:c r="C152" s="16" t="str">
        <x:v>Reachable route coverage</x:v>
      </x:c>
      <x:c r="D152" s="16" t="str">
        <x:v>to classify</x:v>
      </x:c>
      <x:c r="E152" s="16" t="str">
        <x:v>app/session/[id]/complete.tsx</x:v>
      </x:c>
      <x:c r="F152" s="16" t="str">
        <x:v>app/session/[id]/complete.tsx</x:v>
      </x:c>
      <x:c r="G152" s="16" t="str">
        <x:v>inventory</x:v>
      </x:c>
      <x:c r="H152" s="16" t="str"/>
      <x:c r="I152" s="16" t="str">
        <x:v>staging</x:v>
      </x:c>
      <x:c r="J152" s="16" t="str"/>
      <x:c r="K152" s="16" t="str"/>
      <x:c r="L152" s="16" t="str"/>
      <x:c r="M152" s="16" t="str"/>
      <x:c r="N152" s="16" t="str"/>
      <x:c r="O152" s="16" t="str"/>
      <x:c r="P152" s="16" t="str"/>
      <x:c r="Q152" s="16" t="str"/>
      <x:c r="R152" s="16" t="str"/>
      <x:c r="S152" s="16" t="str"/>
      <x:c r="T152" s="16" t="str"/>
      <x:c r="U152" s="16" t="str"/>
      <x:c r="V152" s="16" t="str"/>
      <x:c r="W152" s="16" t="str"/>
      <x:c r="X152" s="16" t="str"/>
      <x:c r="Y152" s="16" t="str"/>
      <x:c r="Z152" s="16" t="str"/>
      <x:c r="AA152" s="16" t="str"/>
      <x:c r="AB152" s="16" t="str"/>
      <x:c r="AC152" s="16" t="str"/>
      <x:c r="AD152" s="16" t="str"/>
      <x:c r="AE152" s="16" t="str"/>
      <x:c r="AF152" s="16" t="str"/>
      <x:c r="AG152" s="16" t="str"/>
      <x:c r="AH152" s="16" t="str"/>
      <x:c r="AI152" s="16" t="str"/>
      <x:c r="AJ152" s="16" t="str"/>
      <x:c r="AK152" s="16" t="str">
        <x:v>pending</x:v>
      </x:c>
      <x:c r="AL152" s="16" t="str"/>
      <x:c r="AM152" s="16" t="str"/>
      <x:c r="AN152" s="16" t="str"/>
      <x:c r="AO152" s="16" t="str"/>
      <x:c r="AP152" s="16" t="str">
        <x:v>pending</x:v>
      </x:c>
      <x:c r="AQ152" s="16" t="str">
        <x:v>Discovered from executable Expo Router tree; runtime coverage pending</x:v>
      </x:c>
    </x:row>
    <x:row r="153" ht="48" customHeight="1">
      <x:c r="A153" s="18" t="str">
        <x:v>ROUTE-121</x:v>
      </x:c>
      <x:c r="B153" s="16" t="str">
        <x:v>ROUTE-INVENTORY</x:v>
      </x:c>
      <x:c r="C153" s="16" t="str">
        <x:v>Reachable route coverage</x:v>
      </x:c>
      <x:c r="D153" s="16" t="str">
        <x:v>to classify</x:v>
      </x:c>
      <x:c r="E153" s="16" t="str">
        <x:v>app/session/[id]/rsvp.tsx</x:v>
      </x:c>
      <x:c r="F153" s="16" t="str">
        <x:v>app/session/[id]/rsvp.tsx</x:v>
      </x:c>
      <x:c r="G153" s="16" t="str">
        <x:v>inventory</x:v>
      </x:c>
      <x:c r="H153" s="16" t="str"/>
      <x:c r="I153" s="16" t="str">
        <x:v>staging</x:v>
      </x:c>
      <x:c r="J153" s="16" t="str"/>
      <x:c r="K153" s="16" t="str"/>
      <x:c r="L153" s="16" t="str"/>
      <x:c r="M153" s="16" t="str"/>
      <x:c r="N153" s="16" t="str"/>
      <x:c r="O153" s="16" t="str"/>
      <x:c r="P153" s="16" t="str"/>
      <x:c r="Q153" s="16" t="str"/>
      <x:c r="R153" s="16" t="str"/>
      <x:c r="S153" s="16" t="str"/>
      <x:c r="T153" s="16" t="str"/>
      <x:c r="U153" s="16" t="str"/>
      <x:c r="V153" s="16" t="str"/>
      <x:c r="W153" s="16" t="str"/>
      <x:c r="X153" s="16" t="str"/>
      <x:c r="Y153" s="16" t="str"/>
      <x:c r="Z153" s="16" t="str"/>
      <x:c r="AA153" s="16" t="str"/>
      <x:c r="AB153" s="16" t="str"/>
      <x:c r="AC153" s="16" t="str"/>
      <x:c r="AD153" s="16" t="str"/>
      <x:c r="AE153" s="16" t="str"/>
      <x:c r="AF153" s="16" t="str"/>
      <x:c r="AG153" s="16" t="str"/>
      <x:c r="AH153" s="16" t="str"/>
      <x:c r="AI153" s="16" t="str"/>
      <x:c r="AJ153" s="16" t="str"/>
      <x:c r="AK153" s="16" t="str">
        <x:v>pending</x:v>
      </x:c>
      <x:c r="AL153" s="16" t="str"/>
      <x:c r="AM153" s="16" t="str"/>
      <x:c r="AN153" s="16" t="str"/>
      <x:c r="AO153" s="16" t="str"/>
      <x:c r="AP153" s="16" t="str">
        <x:v>pending</x:v>
      </x:c>
      <x:c r="AQ153" s="16" t="str">
        <x:v>Discovered from executable Expo Router tree; runtime coverage pending</x:v>
      </x:c>
    </x:row>
    <x:row r="154" ht="48" customHeight="1">
      <x:c r="A154" s="18" t="str">
        <x:v>ROUTE-122</x:v>
      </x:c>
      <x:c r="B154" s="16" t="str">
        <x:v>coach_create_invite_entry | coach_make_appointment | coach_invite_existing | coach_create_as_club_assigned | coach_existing_invite_ownership</x:v>
      </x:c>
      <x:c r="C154" s="16" t="str">
        <x:v>Coach opens create/invite hub | Coach starts booking a new appointment | Coach starts invite-to-existing flow | Coach opens create flow with club-assignment context | Coach existing-invite flow exposes ownership summary and session picker</x:v>
      </x:c>
      <x:c r="D154" s="16" t="str">
        <x:v>coach</x:v>
      </x:c>
      <x:c r="E154" s="16" t="str">
        <x:v>app/sessions/create.tsx</x:v>
      </x:c>
      <x:c r="F154" s="16" t="str">
        <x:v>app/sessions/create.tsx</x:v>
      </x:c>
      <x:c r="G154" s="16" t="str">
        <x:v>responsive route load and configured non-mutating assertions</x:v>
      </x:c>
      <x:c r="H154" s="16" t="str">
        <x:v>iPhone 16 Pro responsive browser viewport</x:v>
      </x:c>
      <x:c r="I154" s="16" t="str">
        <x:v>local Expo web bundle backed by staging API</x:v>
      </x:c>
      <x:c r="J154" s="16" t="str">
        <x:v>/sessions/create | /sessions/create?intent=new&amp;source=club_manage&amp;actingAs=club&amp;clubId=clb_4ee614a0-62ee-73ff-9328-0f74a326c2c1&amp;assigneeCoachId=usr_65972cc3-8f9b-7199-b867-7df5b7faf34b | /sessions/create?intent=existing&amp;source=club_manage&amp;actingAs=club&amp;clubId=clb_4ee614a0-62ee-73ff-9328-0f74a326c2c1&amp;assigneeCoachId=usr_65972cc3-8f9b-7199-b867-7df5b7faf34b</x:v>
      </x:c>
      <x:c r="K154" s="16" t="str">
        <x:v>Authenticated seeded role account and linked staging dataset</x:v>
      </x:c>
      <x:c r="L154" s="16" t="str">
        <x:v>1</x:v>
      </x:c>
      <x:c r="M154" s="16" t="str">
        <x:v>coach_create_invite_entry | coach_make_appointment | coach_invite_existing | coach_create_as_club_assigned | coach_existing_invite_ownership</x:v>
      </x:c>
      <x:c r="N154" s="16" t="str">
        <x:v>Navigate directly and execute the flow runner assertions without submitting a product mutation</x:v>
      </x:c>
      <x:c r="O154" s="16" t="str">
        <x:v>Resolve the intended route without a failed request runtime exception shared error state nested button horizontal overflow or product-text finding</x:v>
      </x:c>
      <x:c r="P154" s="16" t="str">
        <x:v>5/5 mapped flows returned status ok and severity none at 390px</x:v>
      </x:c>
      <x:c r="Q154" s="16" t="str">
        <x:v>Browser-observed role-scoped route requests</x:v>
      </x:c>
      <x:c r="R154" s="16" t="str">
        <x:v>No failed request detected; exact endpoint-by-endpoint reconciliation remains a separate audit gap</x:v>
      </x:c>
      <x:c r="S154" s="16" t="str"/>
      <x:c r="T154" s="16" t="str"/>
      <x:c r="U154" s="16" t="str">
        <x:v>No database mutation executed by this route-load regression</x:v>
      </x:c>
      <x:c r="V154" s="16" t="str">
        <x:v>Not directly exercised in this route-load regression</x:v>
      </x:c>
      <x:c r="W154" s="16" t="str">
        <x:v>Not reconciled in this route-load regression</x:v>
      </x:c>
      <x:c r="X154" s="16" t="str"/>
      <x:c r="Y154" s="16" t="str">
        <x:v>Sentry API unavailable; runner detected no runtime exception or console error classified as high or medium</x:v>
      </x:c>
      <x:c r="Z154" s="16" t="str">
        <x:v>coach</x:v>
      </x:c>
      <x:c r="AA154" s="16" t="str">
        <x:v>coach mapped route flow passed</x:v>
      </x:c>
      <x:c r="AB154" s="16" t="str">
        <x:v>automated route pass; manual visual corpus tracked separately</x:v>
      </x:c>
      <x:c r="AC154" s="16" t="str">
        <x:v>configured actions passed where present; otherwise route-load only</x:v>
      </x:c>
      <x:c r="AD154" s="16" t="str">
        <x:v>no automated high or medium finding</x:v>
      </x:c>
      <x:c r="AE154" s="16" t="str">
        <x:v>0 product-text findings</x:v>
      </x:c>
      <x:c r="AF154" s="16" t="str">
        <x:v>0 product-text findings</x:v>
      </x:c>
      <x:c r="AG154" s="16" t="str">
        <x:v>Shared React Native surface passed responsive runtime; native interaction remains blocked by host DevToolsSecurity</x:v>
      </x:c>
      <x:c r="AH154" s="16" t="str">
        <x:v>football product route</x:v>
      </x:c>
      <x:c r="AI154" s="16" t="str">
        <x:v>390px viewport with 0 horizontal overflow</x:v>
      </x:c>
      <x:c r="AJ154" s="16" t="str">
        <x:v>0 nested buttons; native semantic tree and VoiceOver remain unverified</x:v>
      </x:c>
      <x:c r="AK154" s="16" t="str">
        <x:v>passed</x:v>
      </x:c>
      <x:c r="AL154" s="16" t="str"/>
      <x:c r="AM154" s="16" t="str">
        <x:v>reviews/ios-native-audit/runtime/2026-07-31/report.merged.json</x:v>
      </x:c>
      <x:c r="AN154" s="16" t="str"/>
      <x:c r="AO154" s="16" t="str">
        <x:v>chore(audit): reconcile responsive route evidence</x:v>
      </x:c>
      <x:c r="AP154" s="16" t="str">
        <x:v>5/5 fresh mapped flows passed on 2026-07-31</x:v>
      </x:c>
      <x:c r="AQ154" s="16" t="str">
        <x:v>Non-destructive responsive route evidence only; exact API request IDs database RLS audit-event and native checks remain explicit separate gaps</x:v>
      </x:c>
    </x:row>
    <x:row r="155" ht="48" customHeight="1">
      <x:c r="A155" s="18" t="str">
        <x:v>ROUTE-123</x:v>
      </x:c>
      <x:c r="B155" s="16" t="str">
        <x:v>ACCOUNT-SETTINGS-ROUTE</x:v>
      </x:c>
      <x:c r="C155" s="16" t="str">
        <x:v>Account settings route and self-service integrity</x:v>
      </x:c>
      <x:c r="D155" s="16" t="str">
        <x:v>all authenticated roles; coach runtime</x:v>
      </x:c>
      <x:c r="E155" s="16" t="str">
        <x:v>app/settings/account.tsx | /settings/account</x:v>
      </x:c>
      <x:c r="F155" s="16" t="str">
        <x:v>Account</x:v>
      </x:c>
      <x:c r="G155" s="16" t="str">
        <x:v>ready; phone edit; rejected phone save; password reset; pause and closure prompts</x:v>
      </x:c>
      <x:c r="H155" s="16" t="str">
        <x:v>iPhone 16 Pro responsive browser viewport; compiled frontend and isolated Fastify tests</x:v>
      </x:c>
      <x:c r="I155" s="16" t="str">
        <x:v>local Expo web backed by authenticated reads; intercepted PATCH/POST; isolated seed API</x:v>
      </x:c>
      <x:c r="J155" s="16" t="str">
        <x:v>Direct /settings/account after coach preflight</x:v>
      </x:c>
      <x:c r="K155" s="16" t="str">
        <x:v>Authenticated coach with account email and no pending closure request</x:v>
      </x:c>
      <x:c r="L155" s="16" t="str">
        <x:v>1</x:v>
      </x:c>
      <x:c r="M155" s="16" t="str">
        <x:v>ready and reversible interaction paths</x:v>
      </x:c>
      <x:c r="N155" s="16" t="str">
        <x:v>Open route; inspect every row; reject a phone PATCH; accept a locally intercepted password-reset request; open and cancel both lifecycle prompts</x:v>
      </x:c>
      <x:c r="O155" s="16" t="str">
        <x:v>Render a compact truthful account surface; failed writes stay visible; destructive or external outcomes require confirmation</x:v>
      </x:c>
      <x:c r="P155" s="16" t="str">
        <x:v>Ready route and every reversible interaction passed 1/1; failed phone save kept the editor open; reset success followed an explicit 204; prompts cancelled without side effects</x:v>
      </x:c>
      <x:c r="Q155" s="16" t="str">
        <x:v>GET/PATCH /v1/auth/me | POST /v1/auth/forgot-password | GET/POST /v1/me/data-deletion-requests</x:v>
      </x:c>
      <x:c r="R155" s="16" t="str">
        <x:v>Authenticated GETs passed; phone PATCH intercepted at 503; reset POST intercepted at 204; isolated endpoint proofs passed</x:v>
      </x:c>
      <x:c r="S155" s="16" t="str"/>
      <x:c r="T155" s="16" t="str">
        <x:v>User | PasswordResetToken | DataDeletionRequest | AuditEvent</x:v>
      </x:c>
      <x:c r="U155" s="16" t="str">
        <x:v>No staging mutation; isolated seed proofs persisted only their in-memory fixtures</x:v>
      </x:c>
      <x:c r="V155" s="16" t="str">
        <x:v>All writes remain behind authenticated Fastify self authority; direct Supabase RLS was not re-run</x:v>
      </x:c>
      <x:c r="W155" s="16" t="str">
        <x:v>Isolated auth.profile_update and data_deletion_requests read/create events reconciled; password-reset request delivery audit covered by auth route proof</x:v>
      </x:c>
      <x:c r="X155" s="16" t="str"/>
      <x:c r="Y155" s="16" t="str">
        <x:v>blocked: current Sentry token returns HTTP 403; accepted responsive profiles had no unexpected runtime finding</x:v>
      </x:c>
      <x:c r="Z155" s="16" t="str">
        <x:v>all authenticated roles</x:v>
      </x:c>
      <x:c r="AA155" s="16" t="str">
        <x:v>Shared screen uses signed-in self identity; coach runtime passed and backend routes derive the owner from auth</x:v>
      </x:c>
      <x:c r="AB155" s="16" t="str">
        <x:v>passed</x:v>
      </x:c>
      <x:c r="AC155" s="16" t="str">
        <x:v>passed</x:v>
      </x:c>
      <x:c r="AD155" s="16" t="str">
        <x:v>deleted email editing until verification is complete plus dead account type membership fallback and duplicated explanation</x:v>
      </x:c>
      <x:c r="AE155" s="16" t="str">
        <x:v>passed after replacing generated implementation copy with terse outcomes</x:v>
      </x:c>
      <x:c r="AF155" s="16" t="str">
        <x:v>passed</x:v>
      </x:c>
      <x:c r="AG155" s="16" t="str">
        <x:v>Shared React Native route passed responsive runtime; native semantic tapping remains blocked by host DevToolsSecurity</x:v>
      </x:c>
      <x:c r="AH155" s="16" t="str">
        <x:v>account access supporting football coaches families and athletes</x:v>
      </x:c>
      <x:c r="AI155" s="16" t="str">
        <x:v>Final screenshot manually accepted at 390px with zero flow findings</x:v>
      </x:c>
      <x:c r="AJ155" s="16" t="str">
        <x:v>Email is read-only; phone input buttons lifecycle rows and Go back expose explicit accessible names and disabled states; native VoiceOver remains unverified</x:v>
      </x:c>
      <x:c r="AK155" s="16" t="str">
        <x:v>fixed</x:v>
      </x:c>
      <x:c r="AL155" s="16" t="str">
        <x:v>high</x:v>
      </x:c>
      <x:c r="AM155" s="16" t="str">
        <x:v>reviews/ios-native-audit/runtime/2026-07-31/settings-account-ready-final-2/report.json | reviews/ios-native-audit/runtime/2026-07-31/settings-account-ready-final-2/coach__coach_settings_account.png | reviews/ios-native-audit/runtime/2026-07-31/settings-account-interactions-final/report.json | __tests__/hooks/use-account-settings-api-boundary.test.ts | apps/api/src/modules/auth/routes.test.ts | apps/api/src/modules/wave2plus/routes.test.ts</x:v>
      </x:c>
      <x:c r="AN155" s="16" t="str">
        <x:v>Route inventory was pending; email editing could invalidate verification without a complete resend flow; password reset reported success even when its API request failed; the screen was padded with dead metadata and explanatory copy</x:v>
      </x:c>
      <x:c r="AO155" s="16" t="str">
        <x:v>fix(settings): simplify account controls</x:v>
      </x:c>
      <x:c r="AP155" s="16" t="str">
        <x:v>35/35 compiled app tests; auth Fastify 2/2; deletion Fastify 1/1; ready UI 1/1; reversible interaction UI 1/1; root typecheck and focused lint passed</x:v>
      </x:c>
      <x:c r="AQ155" s="16" t="str">
        <x:v>Phone and password mutations were intercepted before staging; closure and pause were cancelled. No production or destructive test ran.</x:v>
      </x:c>
    </x:row>
    <x:row r="156" ht="48" customHeight="1">
      <x:c r="A156" s="18" t="str">
        <x:v>ROUTE-124</x:v>
      </x:c>
      <x:c r="B156" s="16" t="str">
        <x:v>ROUTE-INVENTORY</x:v>
      </x:c>
      <x:c r="C156" s="16" t="str">
        <x:v>Blocked account settings route coverage</x:v>
      </x:c>
      <x:c r="D156" s="16" t="str">
        <x:v>all authenticated roles</x:v>
      </x:c>
      <x:c r="E156" s="16" t="str">
        <x:v>/settings/blocked-users</x:v>
      </x:c>
      <x:c r="F156" s="16" t="str">
        <x:v>Blocked Accounts</x:v>
      </x:c>
      <x:c r="G156" s="16" t="str">
        <x:v>empty; ready; cancel; failed unblock; successful unblock</x:v>
      </x:c>
      <x:c r="H156" s="16" t="str">
        <x:v>iPhone 16 Pro responsive browser viewport; native semantic runner blocked</x:v>
      </x:c>
      <x:c r="I156" s="16" t="str">
        <x:v>local Expo web backed by staging read; intercepted DELETE</x:v>
      </x:c>
      <x:c r="J156" s="16" t="str">
        <x:v>Direct route after coach login</x:v>
      </x:c>
      <x:c r="K156" s="16" t="str">
        <x:v>Authenticated coach; safe mocked summary for nonempty branches</x:v>
      </x:c>
      <x:c r="L156" s="16" t="str">
        <x:v>1</x:v>
      </x:c>
      <x:c r="M156" s="16" t="str">
        <x:v>route inventory</x:v>
      </x:c>
      <x:c r="N156" s="16" t="str">
        <x:v>Exercise every visible state and downstream authority boundary</x:v>
      </x:c>
      <x:c r="O156" s="16" t="str">
        <x:v>Every route state is truthful, usable and backed by self-owned server authority</x:v>
      </x:c>
      <x:c r="P156" s="16" t="str">
        <x:v>Actual staging empty state passed; deterministic nonempty, cancel, 503 recovery and success-empty branches passed without upstream mutation</x:v>
      </x:c>
      <x:c r="Q156" s="16" t="str">
        <x:v>GET/DELETE /v1/blocks | POST /v1/message-threads/:threadId/messages</x:v>
      </x:c>
      <x:c r="R156" s="16" t="str">
        <x:v>Empty staging read 200; intercepted deletes 503 and 200; isolated blocked message 409</x:v>
      </x:c>
      <x:c r="S156" s="16" t="str">
        <x:v>staging read only; writes intercepted or isolated</x:v>
      </x:c>
      <x:c r="T156" s="16" t="str">
        <x:v>UserBlock | User | Message | AuditEvent</x:v>
      </x:c>
      <x:c r="U156" s="16" t="str">
        <x:v>No staging mutation; isolated seed and DB-fixture writes denied before Message insert</x:v>
      </x:c>
      <x:c r="V156" s="16" t="str">
        <x:v>UserBlock RLS enabled; no anon, authenticated or PUBLIC DML grant</x:v>
      </x:c>
      <x:c r="W156" s="16" t="str">
        <x:v>users.block.read SUCCESS; community.thread-message.create DENY proved in isolated API</x:v>
      </x:c>
      <x:c r="X156" s="16" t="str"/>
      <x:c r="Y156" s="16" t="str">
        <x:v>blocked: current Sentry token returns HTTP 403 for issue reads</x:v>
      </x:c>
      <x:c r="Z156" s="16" t="str">
        <x:v>all authenticated roles</x:v>
      </x:c>
      <x:c r="AA156" s="16" t="str">
        <x:v>Shared route contract applies to every account; message denial works in either block direction</x:v>
      </x:c>
      <x:c r="AB156" s="16" t="str">
        <x:v>passed</x:v>
      </x:c>
      <x:c r="AC156" s="16" t="str">
        <x:v>passed</x:v>
      </x:c>
      <x:c r="AD156" s="16" t="str">
        <x:v>removed internal identifiers, email, postcode, role decoration and repeated explanation</x:v>
      </x:c>
      <x:c r="AE156" s="16" t="str">
        <x:v>passed after replacing vague safety theatre with terse operational copy</x:v>
      </x:c>
      <x:c r="AF156" s="16" t="str">
        <x:v>passed</x:v>
      </x:c>
      <x:c r="AG156" s="16" t="str">
        <x:v>Shared React Native surface passed responsive runtime; native control remains blocked by DevToolsSecurity</x:v>
      </x:c>
      <x:c r="AH156" s="16" t="str">
        <x:v>account safety for football participants and staff</x:v>
      </x:c>
      <x:c r="AI156" s="16" t="str">
        <x:v>Empty and populated screenshots manually accepted at 390px with top-position assertion</x:v>
      </x:c>
      <x:c r="AJ156" s="16" t="str">
        <x:v>Back and Unblock controls have explicit names; pending action disables competing controls; native VoiceOver remains unverified</x:v>
      </x:c>
      <x:c r="AK156" s="16" t="str">
        <x:v>complete</x:v>
      </x:c>
      <x:c r="AL156" s="16" t="str">
        <x:v>high</x:v>
      </x:c>
      <x:c r="AM156" s="16" t="str">
        <x:v>reviews/ios-native-audit/runtime/2026-07-31/settings-blocked-users-empty-final/report.json | reviews/ios-native-audit/runtime/2026-07-31/settings-blocked-users-ready-final-2/report.json | reviews/ios-native-audit/runtime/2026-07-31/settings-blocked-users-interactions-final/report.json</x:v>
      </x:c>
      <x:c r="AN156" s="16" t="str">
        <x:v>The route could not render a real nonempty API list because it fetched profiles that the block boundary intentionally hides</x:v>
      </x:c>
      <x:c r="AO156" s="16" t="str">
        <x:v>fix(safety): enforce blocked account controls</x:v>
      </x:c>
      <x:c r="AP156" s="16" t="str">
        <x:v>ready 1/1; interactions 1/1; actual staging empty 1/1; app 18/18; block API 1/1; message API 2/2</x:v>
      </x:c>
      <x:c r="AQ156" s="16" t="str">
        <x:v>No block, unblock or message mutation reached staging or production.</x:v>
      </x:c>
    </x:row>
    <x:row r="157" ht="48" customHeight="1">
      <x:c r="A157" s="18" t="str">
        <x:v>ROUTE-125</x:v>
      </x:c>
      <x:c r="B157" s="16" t="str">
        <x:v>coach_settings_calendar_sync</x:v>
      </x:c>
      <x:c r="C157" s="16" t="str">
        <x:v>Coach opens functional calendar export</x:v>
      </x:c>
      <x:c r="D157" s="16" t="str">
        <x:v>coach</x:v>
      </x:c>
      <x:c r="E157" s="16" t="str">
        <x:v>app/settings/calendar-sync.tsx</x:v>
      </x:c>
      <x:c r="F157" s="16" t="str">
        <x:v>Calendar Export</x:v>
      </x:c>
      <x:c r="G157" s="16" t="str">
        <x:v>ready functional export preferences</x:v>
      </x:c>
      <x:c r="H157" s="16" t="str">
        <x:v>iPhone 16 Pro responsive browser viewport</x:v>
      </x:c>
      <x:c r="I157" s="16" t="str">
        <x:v>local Expo web bundle backed by staging API</x:v>
      </x:c>
      <x:c r="J157" s="16" t="str">
        <x:v>/settings/calendar-sync</x:v>
      </x:c>
      <x:c r="K157" s="16" t="str">
        <x:v>Authenticated staging coach and device-local export defaults</x:v>
      </x:c>
      <x:c r="L157" s="16" t="str">
        <x:v>1</x:v>
      </x:c>
      <x:c r="M157" s="16" t="str">
        <x:v>ready read-only audit</x:v>
      </x:c>
      <x:c r="N157" s="16" t="str">
        <x:v>Navigate directly; require Calendar Export and Calendar File; assert four false sync labels absent and scroll position zero</x:v>
      </x:c>
      <x:c r="O157" s="16" t="str">
        <x:v>Show only preferences that alter the generated ICS file and one clear export action</x:v>
      </x:c>
      <x:c r="P157" s="16" t="str">
        <x:v>Calendar Export rendered one compact Calendar File section and Export Calendar action; route status ok and severity none</x:v>
      </x:c>
      <x:c r="Q157" s="16" t="str">
        <x:v>device-local preference read; export source trace: GET /v1/bookings | GET /v1/group-sessions?coachUserId=… | GET /v1/clubs and readable event routes</x:v>
      </x:c>
      <x:c r="R157" s="16" t="str">
        <x:v>Route replay read device-local preferences only; server export reads were not invoked because the share action was not submitted</x:v>
      </x:c>
      <x:c r="S157" s="16" t="str"/>
      <x:c r="T157" s="16" t="str">
        <x:v>AsyncStorage calendar_sync_settings_&lt;userId&gt; | server Booking GroupSession ClubEvent source trace</x:v>
      </x:c>
      <x:c r="U157" s="16" t="str">
        <x:v>No database mutation executed; browser preference defaults were read locally</x:v>
      </x:c>
      <x:c r="V157" s="16" t="str">
        <x:v>not applicable to device-local preferences; server export reads retain existing Fastify authority and were not re-run</x:v>
      </x:c>
      <x:c r="W157" s="16" t="str">
        <x:v>no preference audit expected; export was not submitted</x:v>
      </x:c>
      <x:c r="X157" s="16" t="str"/>
      <x:c r="Y157" s="16" t="str">
        <x:v>Sentry API unavailable; runner detected no runtime exception or console error classified high or medium</x:v>
      </x:c>
      <x:c r="Z157" s="16" t="str">
        <x:v>all authenticated roles</x:v>
      </x:c>
      <x:c r="AA157" s="16" t="str">
        <x:v>Coach mapped route passed; shared screen and local preference boundary apply to every authenticated role</x:v>
      </x:c>
      <x:c r="AB157" s="16" t="str">
        <x:v>passed</x:v>
      </x:c>
      <x:c r="AC157" s="16" t="str">
        <x:v>passed</x:v>
      </x:c>
      <x:c r="AD157" s="16" t="str">
        <x:v>false enable, auto-sync, provider and last-sync UI removed</x:v>
      </x:c>
      <x:c r="AE157" s="16" t="str">
        <x:v>oversized decorative reminder card and duplicate reminder hierarchy replaced with a compact row</x:v>
      </x:c>
      <x:c r="AF157" s="16" t="str">
        <x:v>passed</x:v>
      </x:c>
      <x:c r="AG157" s="16" t="str">
        <x:v>Shared React Native surface passed responsive runtime; native share-sheet interaction remains blocked by host DevToolsSecurity</x:v>
      </x:c>
      <x:c r="AH157" s="16" t="str">
        <x:v>upcoming football bookings group sessions and club events</x:v>
      </x:c>
      <x:c r="AI157" s="16" t="str">
        <x:v>390px route passed with no automated layout finding and screenshot manually verified</x:v>
      </x:c>
      <x:c r="AJ157" s="16" t="str">
        <x:v>PageHeader back control switches reminder button and export button retain explicit labels; native VoiceOver remains unverified</x:v>
      </x:c>
      <x:c r="AK157" s="16" t="str">
        <x:v>passed</x:v>
      </x:c>
      <x:c r="AL157" s="16" t="str">
        <x:v>high</x:v>
      </x:c>
      <x:c r="AM157" s="16" t="str">
        <x:v>reviews/ios-native-audit/runtime/2026-07-31/settings-calendar-export-final-2/report.json | reviews/ios-native-audit/runtime/2026-07-31/settings-calendar-export-final-2/coach__coach_settings_calendar_sync.png | __tests__/calendar/calendar-service.test.ts | docs/architecture/runtime-modes.md</x:v>
      </x:c>
      <x:c r="AN157" s="16" t="str">
        <x:v>Route claimed automatic calendar sync and provider integration that did not exist, disabled the real ICS controls behind a placebo switch, and used an oversized reminder card</x:v>
      </x:c>
      <x:c r="AO157" s="16" t="str">
        <x:v>fix(ui): make calendar export truthful</x:v>
      </x:c>
      <x:c r="AP157" s="16" t="str">
        <x:v>1/1 ready-state route replay and 24 calendar service tests passed on 2026-07-31</x:v>
      </x:c>
      <x:c r="AQ157" s="16" t="str">
        <x:v>Non-destructive responsive evidence; no staging preference or server data mutation and no native share sheet opened</x:v>
      </x:c>
    </x:row>
    <x:row r="158" ht="48" customHeight="1">
      <x:c r="A158" s="18" t="str">
        <x:v>ROUTE-126</x:v>
      </x:c>
      <x:c r="B158" s="16" t="str">
        <x:v>coach_availability_rules</x:v>
      </x:c>
      <x:c r="C158" s="16" t="str">
        <x:v>Coach opens cancellation policy</x:v>
      </x:c>
      <x:c r="D158" s="16" t="str">
        <x:v>coach</x:v>
      </x:c>
      <x:c r="E158" s="16" t="str">
        <x:v>app/settings/cancellation-policy.tsx</x:v>
      </x:c>
      <x:c r="F158" s="16" t="str">
        <x:v>app/settings/cancellation-policy.tsx</x:v>
      </x:c>
      <x:c r="G158" s="16" t="str">
        <x:v>responsive route load and configured non-mutating assertions</x:v>
      </x:c>
      <x:c r="H158" s="16" t="str">
        <x:v>iPhone 16 Pro responsive browser viewport</x:v>
      </x:c>
      <x:c r="I158" s="16" t="str">
        <x:v>local Expo web bundle backed by staging API</x:v>
      </x:c>
      <x:c r="J158" s="16" t="str">
        <x:v>/settings/cancellation-policy</x:v>
      </x:c>
      <x:c r="K158" s="16" t="str">
        <x:v>Authenticated seeded role account and linked staging dataset</x:v>
      </x:c>
      <x:c r="L158" s="16" t="str">
        <x:v>1</x:v>
      </x:c>
      <x:c r="M158" s="16" t="str">
        <x:v>coach_availability_rules</x:v>
      </x:c>
      <x:c r="N158" s="16" t="str">
        <x:v>Navigate directly and execute the flow runner assertions without submitting a product mutation</x:v>
      </x:c>
      <x:c r="O158" s="16" t="str">
        <x:v>Resolve the intended route without a failed request runtime exception shared error state nested button horizontal overflow or product-text finding</x:v>
      </x:c>
      <x:c r="P158" s="16" t="str">
        <x:v>1/1 mapped flows returned status ok and severity none at 390px</x:v>
      </x:c>
      <x:c r="Q158" s="16" t="str">
        <x:v>Browser-observed role-scoped route requests</x:v>
      </x:c>
      <x:c r="R158" s="16" t="str">
        <x:v>No failed request detected; exact endpoint-by-endpoint reconciliation remains a separate audit gap</x:v>
      </x:c>
      <x:c r="S158" s="16" t="str"/>
      <x:c r="T158" s="16" t="str"/>
      <x:c r="U158" s="16" t="str">
        <x:v>No database mutation executed by this route-load regression</x:v>
      </x:c>
      <x:c r="V158" s="16" t="str">
        <x:v>Not directly exercised in this route-load regression</x:v>
      </x:c>
      <x:c r="W158" s="16" t="str">
        <x:v>Not reconciled in this route-load regression</x:v>
      </x:c>
      <x:c r="X158" s="16" t="str"/>
      <x:c r="Y158" s="16" t="str">
        <x:v>Sentry API unavailable; runner detected no runtime exception or console error classified as high or medium</x:v>
      </x:c>
      <x:c r="Z158" s="16" t="str">
        <x:v>coach</x:v>
      </x:c>
      <x:c r="AA158" s="16" t="str">
        <x:v>coach mapped route flow passed</x:v>
      </x:c>
      <x:c r="AB158" s="16" t="str">
        <x:v>automated route pass; manual visual corpus tracked separately</x:v>
      </x:c>
      <x:c r="AC158" s="16" t="str">
        <x:v>configured actions passed where present; otherwise route-load only</x:v>
      </x:c>
      <x:c r="AD158" s="16" t="str">
        <x:v>no automated high or medium finding</x:v>
      </x:c>
      <x:c r="AE158" s="16" t="str">
        <x:v>0 product-text findings</x:v>
      </x:c>
      <x:c r="AF158" s="16" t="str">
        <x:v>0 product-text findings</x:v>
      </x:c>
      <x:c r="AG158" s="16" t="str">
        <x:v>Shared React Native surface passed responsive runtime; native interaction remains blocked by host DevToolsSecurity</x:v>
      </x:c>
      <x:c r="AH158" s="16" t="str">
        <x:v>football product route</x:v>
      </x:c>
      <x:c r="AI158" s="16" t="str">
        <x:v>390px viewport with 0 horizontal overflow</x:v>
      </x:c>
      <x:c r="AJ158" s="16" t="str">
        <x:v>0 nested buttons; native semantic tree and VoiceOver remain unverified</x:v>
      </x:c>
      <x:c r="AK158" s="16" t="str">
        <x:v>passed</x:v>
      </x:c>
      <x:c r="AL158" s="16" t="str"/>
      <x:c r="AM158" s="16" t="str">
        <x:v>reviews/ios-native-audit/runtime/2026-07-31/report.merged.json</x:v>
      </x:c>
      <x:c r="AN158" s="16" t="str"/>
      <x:c r="AO158" s="16" t="str">
        <x:v>chore(audit): reconcile responsive route evidence</x:v>
      </x:c>
      <x:c r="AP158" s="16" t="str">
        <x:v>1/1 fresh mapped flows passed on 2026-07-31</x:v>
      </x:c>
      <x:c r="AQ158" s="16" t="str">
        <x:v>Non-destructive responsive route evidence only; exact API request IDs database RLS audit-event and native checks remain explicit separate gaps</x:v>
      </x:c>
    </x:row>
    <x:row r="159" ht="48" customHeight="1">
      <x:c r="A159" s="18" t="str">
        <x:v>ROUTE-127</x:v>
      </x:c>
      <x:c r="B159" s="16" t="str">
        <x:v>COACHING-SETTINGS-ROUTE</x:v>
      </x:c>
      <x:c r="C159" s="16" t="str">
        <x:v>Coaching settings route and booking-rule integrity</x:v>
      </x:c>
      <x:c r="D159" s="16" t="str">
        <x:v>coach</x:v>
      </x:c>
      <x:c r="E159" s="16" t="str">
        <x:v>app/settings/coaching.tsx | /settings/coaching</x:v>
      </x:c>
      <x:c r="F159" s="16" t="str">
        <x:v>Coaching Settings</x:v>
      </x:c>
      <x:c r="G159" s="16" t="str">
        <x:v>ready; rapid draft; save failure rollback; direct entry</x:v>
      </x:c>
      <x:c r="H159" s="16" t="str">
        <x:v>iPhone 16 Pro responsive browser viewport; isolated frontend and Fastify tests</x:v>
      </x:c>
      <x:c r="I159" s="16" t="str">
        <x:v>local Expo web backed by authenticated API reads; intercepted PATCH; isolated seed API</x:v>
      </x:c>
      <x:c r="J159" s="16" t="str">
        <x:v>Direct /settings/coaching after coach preflight</x:v>
      </x:c>
      <x:c r="K159" s="16" t="str">
        <x:v>Authenticated coach with persisted scheduling rules policy travel settings and blocked date</x:v>
      </x:c>
      <x:c r="L159" s="16" t="str">
        <x:v>1</x:v>
      </x:c>
      <x:c r="M159" s="16" t="str">
        <x:v>ready state and intentional mutation failure</x:v>
      </x:c>
      <x:c r="N159" s="16" t="str">
        <x:v>Open route; inspect every control; inject PATCH 503; increase session buffer</x:v>
      </x:c>
      <x:c r="O159" s="16" t="str">
        <x:v>Render compact real booking controls and restore backend truth on any rejected save</x:v>
      </x:c>
      <x:c r="P159" s="16" t="str">
        <x:v>Ready route passed with concise Booking Rules and Manage sections; forced failure restored 15 min and showed an explicit banner</x:v>
      </x:c>
      <x:c r="Q159" s="16" t="str">
        <x:v>GET/PATCH /v1/coaches/me/scheduling-rules</x:v>
      </x:c>
      <x:c r="R159" s="16" t="str">
        <x:v>Ready GET 200; isolated valid PATCH 200 and invalid PATCH 400; responsive failure PATCH intercepted at 503</x:v>
      </x:c>
      <x:c r="S159" s="16" t="str"/>
      <x:c r="T159" s="16" t="str">
        <x:v>SchedulingRule | CancellationPolicyRule | AvailabilityOverride | CoachTravelSetting | AuditEvent</x:v>
      </x:c>
      <x:c r="U159" s="16" t="str">
        <x:v>Isolated seed proof persisted bounded rules and retained 36-hour notice after invalid PATCH; no staging mutation</x:v>
      </x:c>
      <x:c r="V159" s="16" t="str">
        <x:v>Writes remain behind authenticated coach-self Fastify authority; direct Supabase RLS was not re-run</x:v>
      </x:c>
      <x:c r="W159" s="16" t="str">
        <x:v>Isolated coach_scheduling_rules.update SUCCESS and DENY events persisted with changed field names only</x:v>
      </x:c>
      <x:c r="X159" s="16" t="str"/>
      <x:c r="Y159" s="16" t="str">
        <x:v>blocked: current Sentry token returns HTTP 403; accepted responsive profiles had no unexpected runtime finding</x:v>
      </x:c>
      <x:c r="Z159" s="16" t="str">
        <x:v>coach; parents; guardians; athletes</x:v>
      </x:c>
      <x:c r="AA159" s="16" t="str">
        <x:v>Coach owns the controls; booking availability consumed by family and athlete booking flows stays backend-authoritative</x:v>
      </x:c>
      <x:c r="AB159" s="16" t="str">
        <x:v>passed</x:v>
      </x:c>
      <x:c r="AC159" s="16" t="str">
        <x:v>passed</x:v>
      </x:c>
      <x:c r="AD159" s="16" t="str">
        <x:v>deleted repeated helper copy and three separate management cards</x:v>
      </x:c>
      <x:c r="AE159" s="16" t="str">
        <x:v>passed after removing generated explanatory phrasing and decorative section inflation</x:v>
      </x:c>
      <x:c r="AF159" s="16" t="str">
        <x:v>passed</x:v>
      </x:c>
      <x:c r="AG159" s="16" t="str">
        <x:v>Shared React Native screen passed responsive runtime; native semantic tapping remains blocked by host DevToolsSecurity</x:v>
      </x:c>
      <x:c r="AH159" s="16" t="str">
        <x:v>booking notice window buffer cancellation travel and blocked-date controls for football coaching</x:v>
      </x:c>
      <x:c r="AI159" s="16" t="str">
        <x:v>Ready and rollback screenshots manually accepted at 390px with zero flow findings</x:v>
      </x:c>
      <x:c r="AJ159" s="16" t="str">
        <x:v>Stepper buttons switches navigation rows and Go back expose explicit accessible names and disabled states; native VoiceOver remains unverified</x:v>
      </x:c>
      <x:c r="AK159" s="16" t="str">
        <x:v>fixed</x:v>
      </x:c>
      <x:c r="AL159" s="16" t="str">
        <x:v>high</x:v>
      </x:c>
      <x:c r="AM159" s="16" t="str">
        <x:v>reviews/ios-native-audit/runtime/2026-07-31/settings-coaching-ready-final/report.json | reviews/ios-native-audit/runtime/2026-07-31/settings-coaching-ready-final/coach__coach_settings_coaching.png | reviews/ios-native-audit/runtime/2026-07-31/settings-coaching-save-failure-final-2/report.json | reviews/ios-native-audit/runtime/2026-07-31/settings-coaching-save-failure-final-2/coach__coach_settings_coaching_save_failure.png | __tests__/availability/scheduling-rules-api-mode.test.ts | apps/api/src/modules/coach-club/routes.test.ts</x:v>
      </x:c>
      <x:c r="AN159" s="16" t="str">
        <x:v>Route inventory was pending; rejected saves left optimistic values visible and the screen over-explained four simple controls</x:v>
      </x:c>
      <x:c r="AO159" s="16" t="str">
        <x:v>fix(settings): harden coaching rules</x:v>
      </x:c>
      <x:c r="AP159" s="16" t="str">
        <x:v>12/12 service tests; targeted Fastify test passed; ready UI 1/1; injected-failure UI 1/1; root and API typechecks lint and React Doctor passed</x:v>
      </x:c>
      <x:c r="AQ159" s="16" t="str">
        <x:v>The failure PATCH was fulfilled locally and never reached staging. No production or destructive test ran.</x:v>
      </x:c>
    </x:row>
    <x:row r="160" ht="48" customHeight="1">
      <x:c r="A160" s="18" t="str">
        <x:v>UI-033</x:v>
      </x:c>
      <x:c r="B160" s="16" t="str">
        <x:v>COACHING-SETTINGS-SIMPLIFICATION</x:v>
      </x:c>
      <x:c r="C160" s="16" t="str">
        <x:v>Coaching settings hierarchy copy and truthful state</x:v>
      </x:c>
      <x:c r="D160" s="16" t="str">
        <x:v>coach; booking clients</x:v>
      </x:c>
      <x:c r="E160" s="16" t="str">
        <x:v>/settings/coaching</x:v>
      </x:c>
      <x:c r="F160" s="16" t="str">
        <x:v>Coaching Settings</x:v>
      </x:c>
      <x:c r="G160" s="16" t="str">
        <x:v>ready and rejected save</x:v>
      </x:c>
      <x:c r="H160" s="16" t="str">
        <x:v>iPhone 16 Pro responsive browser viewport</x:v>
      </x:c>
      <x:c r="I160" s="16" t="str">
        <x:v>local Expo web backed by authenticated API reads</x:v>
      </x:c>
      <x:c r="J160" s="16" t="str">
        <x:v>Direct protected route</x:v>
      </x:c>
      <x:c r="K160" s="16" t="str">
        <x:v>Persisted coach rules and related summaries available</x:v>
      </x:c>
      <x:c r="L160" s="16" t="str">
        <x:v>1</x:v>
      </x:c>
      <x:c r="M160" s="16" t="str">
        <x:v>operational settings</x:v>
      </x:c>
      <x:c r="N160" s="16" t="str">
        <x:v>Review all labels sections values controls and failure feedback</x:v>
      </x:c>
      <x:c r="O160" s="16" t="str">
        <x:v>Use two compact groups; one action per control; no redundant prose; never present rejected values as saved</x:v>
      </x:c>
      <x:c r="P160" s="16" t="str">
        <x:v>Four helper lines and redundant section cards were removed; navigation icons align inline; controls lock during the request; failed saves visibly restore server values</x:v>
      </x:c>
      <x:c r="Q160" s="16" t="str">
        <x:v>GET/PATCH /v1/coaches/me/scheduling-rules</x:v>
      </x:c>
      <x:c r="R160" s="16" t="str">
        <x:v>GET passed; forced PATCH failure intercepted and reconciled</x:v>
      </x:c>
      <x:c r="S160" s="16" t="str"/>
      <x:c r="T160" s="16" t="str">
        <x:v>SchedulingRule</x:v>
      </x:c>
      <x:c r="U160" s="16" t="str">
        <x:v>No staging mutation; 15-minute backend-confirmed buffer remained visible after failure</x:v>
      </x:c>
      <x:c r="V160" s="16" t="str">
        <x:v>Server-owned self route unchanged</x:v>
      </x:c>
      <x:c r="W160" s="16" t="str">
        <x:v>No event expected for intercepted failure because the API was not reached</x:v>
      </x:c>
      <x:c r="X160" s="16" t="str"/>
      <x:c r="Y160" s="16" t="str">
        <x:v>Sentry issue reads remain blocked by HTTP 403; no unexpected browser issue</x:v>
      </x:c>
      <x:c r="Z160" s="16" t="str">
        <x:v>coach; parents; guardians; athletes</x:v>
      </x:c>
      <x:c r="AA160" s="16" t="str">
        <x:v>Coach UI is self-owned while downstream bookable slots reflect these rules</x:v>
      </x:c>
      <x:c r="AB160" s="16" t="str">
        <x:v>passed</x:v>
      </x:c>
      <x:c r="AC160" s="16" t="str">
        <x:v>passed</x:v>
      </x:c>
      <x:c r="AD160" s="16" t="str">
        <x:v>deleted four helper lines two redundant section headers and separate single-row cards</x:v>
      </x:c>
      <x:c r="AE160" s="16" t="str">
        <x:v>passed after replacing tutorial copy with short operational labels</x:v>
      </x:c>
      <x:c r="AF160" s="16" t="str">
        <x:v>passed</x:v>
      </x:c>
      <x:c r="AG160" s="16" t="str">
        <x:v>Shared React Native surface passed responsive runtime; native automation remains host-blocked</x:v>
      </x:c>
      <x:c r="AH160" s="16" t="str">
        <x:v>football coaching booking rules and availability management</x:v>
      </x:c>
      <x:c r="AI160" s="16" t="str">
        <x:v>Manual screenshot review accepted spacing hierarchy values and non-truncated rows</x:v>
      </x:c>
      <x:c r="AJ160" s="16" t="str">
        <x:v>Explicit Increase and Decrease labels; switch label and disabled state; labelled navigation and back controls</x:v>
      </x:c>
      <x:c r="AK160" s="16" t="str">
        <x:v>fixed</x:v>
      </x:c>
      <x:c r="AL160" s="16" t="str">
        <x:v>high</x:v>
      </x:c>
      <x:c r="AM160" s="16" t="str">
        <x:v>reviews/ios-native-audit/runtime/2026-07-31/settings-coaching-ready-final/report.json | reviews/ios-native-audit/runtime/2026-07-31/settings-coaching-ready-final/coach__coach_settings_coaching.png | reviews/ios-native-audit/runtime/2026-07-31/settings-coaching-save-failure-final-2/coach__coach_settings_coaching_save_failure.png</x:v>
      </x:c>
      <x:c r="AN160" s="16" t="str">
        <x:v>The screen looked generated and a failed save silently left unsaved optimistic values on screen</x:v>
      </x:c>
      <x:c r="AO160" s="16" t="str">
        <x:v>fix(settings): harden coaching rules</x:v>
      </x:c>
      <x:c r="AP160" s="16" t="str">
        <x:v>Ready and failure flows each passed 1/1 severity none; focused formatting ESLint UI-action lint typecheck and React Doctor passed</x:v>
      </x:c>
      <x:c r="AQ160" s="16" t="str">
        <x:v>No staging setting was changed.</x:v>
      </x:c>
    </x:row>
    <x:row r="161" ht="48" customHeight="1">
      <x:c r="A161" s="18" t="str">
        <x:v>API-004</x:v>
      </x:c>
      <x:c r="B161" s="16" t="str">
        <x:v>COACHING-RULE-VALIDATION-AUDIT</x:v>
      </x:c>
      <x:c r="C161" s="16" t="str">
        <x:v>Scheduling-rule write validation and audit</x:v>
      </x:c>
      <x:c r="D161" s="16" t="str">
        <x:v>coach self</x:v>
      </x:c>
      <x:c r="E161" s="16" t="str">
        <x:v>PATCH /v1/coaches/me/scheduling-rules</x:v>
      </x:c>
      <x:c r="F161" s="16" t="str">
        <x:v>Fastify scheduling rules authority</x:v>
      </x:c>
      <x:c r="G161" s="16" t="str">
        <x:v>valid write; invalid numeric write; reread; audit reconciliation</x:v>
      </x:c>
      <x:c r="H161" s="16" t="str">
        <x:v>isolated Fastify app.inject</x:v>
      </x:c>
      <x:c r="I161" s="16" t="str">
        <x:v>NODE_ENV=test seed backend</x:v>
      </x:c>
      <x:c r="J161" s="16" t="str">
        <x:v>Authenticated coach-self request</x:v>
      </x:c>
      <x:c r="K161" s="16" t="str">
        <x:v>Seed coach and current scheduling rules</x:v>
      </x:c>
      <x:c r="L161" s="16" t="str">
        <x:v>1</x:v>
      </x:c>
      <x:c r="M161" s="16" t="str">
        <x:v>success and validation denial</x:v>
      </x:c>
      <x:c r="N161" s="16" t="str">
        <x:v>Submit bounded rules then submit negative minimum notice and reread</x:v>
      </x:c>
      <x:c r="O161" s="16" t="str">
        <x:v>Persist only schema-valid bounded fields; reject unknown empty malformed or out-of-range payloads; audit without values</x:v>
      </x:c>
      <x:c r="P161" s="16" t="str">
        <x:v>Valid update returned 200; negative notice returned 400; reread retained the valid 36-hour value; one SUCCESS and one DENY audit row were asserted</x:v>
      </x:c>
      <x:c r="Q161" s="16" t="str">
        <x:v>PATCH and GET /v1/coaches/me/scheduling-rules</x:v>
      </x:c>
      <x:c r="R161" s="16" t="str">
        <x:v>200 then 400 then 200</x:v>
      </x:c>
      <x:c r="S161" s="16" t="str"/>
      <x:c r="T161" s="16" t="str">
        <x:v>SchedulingRule | CancellationPolicyRule | AuditEvent</x:v>
      </x:c>
      <x:c r="U161" s="16" t="str">
        <x:v>Seed repository persisted the valid update and did not apply the rejected value</x:v>
      </x:c>
      <x:c r="V161" s="16" t="str">
        <x:v>Actor identity is derived from authenticated coach self; no direct client database write</x:v>
      </x:c>
      <x:c r="W161" s="16" t="str">
        <x:v>coach_scheduling_rules.update SUCCESS and DENY; metadata includes changed field names or VALIDATION_FAILED only</x:v>
      </x:c>
      <x:c r="X161" s="16" t="str"/>
      <x:c r="Y161" s="16" t="str">
        <x:v>not applicable to isolated API process</x:v>
      </x:c>
      <x:c r="Z161" s="16" t="str">
        <x:v>coach; booking clients</x:v>
      </x:c>
      <x:c r="AA161" s="16" t="str">
        <x:v>Only the coach can write; all booking clients consume validated rules through backend availability</x:v>
      </x:c>
      <x:c r="AB161" s="16" t="str">
        <x:v>passed</x:v>
      </x:c>
      <x:c r="AC161" s="16" t="str">
        <x:v>not applicable</x:v>
      </x:c>
      <x:c r="AD161" s="16" t="str">
        <x:v>not applicable</x:v>
      </x:c>
      <x:c r="AE161" s="16" t="str">
        <x:v>not applicable</x:v>
      </x:c>
      <x:c r="AF161" s="16" t="str">
        <x:v>passed</x:v>
      </x:c>
      <x:c r="AG161" s="16" t="str">
        <x:v>API-only isolated proof</x:v>
      </x:c>
      <x:c r="AH161" s="16" t="str">
        <x:v>football booking notice window buffer concurrency and cancellation rules</x:v>
      </x:c>
      <x:c r="AI161" s="16" t="str">
        <x:v>not applicable</x:v>
      </x:c>
      <x:c r="AJ161" s="16" t="str">
        <x:v>Strict Zod schema rejects unknown fields and bounds every persisted number</x:v>
      </x:c>
      <x:c r="AK161" s="16" t="str">
        <x:v>fixed</x:v>
      </x:c>
      <x:c r="AL161" s="16" t="str">
        <x:v>high</x:v>
      </x:c>
      <x:c r="AM161" s="16" t="str">
        <x:v>apps/api/src/modules/coach-club/routes.ts | apps/api/src/modules/coach-club/routes.test.ts | docs/backend-api/ROUTE_INVENTORY_V1.md</x:v>
      </x:c>
      <x:c r="AN161" s="16" t="str">
        <x:v>The PATCH route cast the request body and could persist arbitrary negative oversized or unknown rule data without a write audit</x:v>
      </x:c>
      <x:c r="AO161" s="16" t="str">
        <x:v>fix(settings): harden coaching rules</x:v>
      </x:c>
      <x:c r="AP161" s="16" t="str">
        <x:v>Targeted Fastify case passed 1/1 with 40 unrelated tests skipped; API typecheck passed</x:v>
      </x:c>
      <x:c r="AQ161" s="16" t="str">
        <x:v>No staging or production request was sent.</x:v>
      </x:c>
    </x:row>
    <x:row r="162" ht="48" customHeight="1">
      <x:c r="A162" s="18" t="str">
        <x:v>QA-009</x:v>
      </x:c>
      <x:c r="B162" s="16" t="str">
        <x:v>COACHING-RULE-SAVE-FAILURE</x:v>
      </x:c>
      <x:c r="C162" s="16" t="str">
        <x:v>Deterministic coaching-rule save failure proof</x:v>
      </x:c>
      <x:c r="D162" s="16" t="str">
        <x:v>coach; reusable QA infrastructure</x:v>
      </x:c>
      <x:c r="E162" s="16" t="str">
        <x:v>scripts/ui-flow-checks-50.mjs | /settings/coaching</x:v>
      </x:c>
      <x:c r="F162" s="16" t="str">
        <x:v>Coaching settings save failure profile</x:v>
      </x:c>
      <x:c r="G162" s="16" t="str">
        <x:v>injected PATCH 503; expected browser errors; rollback</x:v>
      </x:c>
      <x:c r="H162" s="16" t="str">
        <x:v>iPhone 16 Pro responsive browser viewport</x:v>
      </x:c>
      <x:c r="I162" s="16" t="str">
        <x:v>local Expo web backed by authenticated GET; Playwright-intercepted PATCH</x:v>
      </x:c>
      <x:c r="J162" s="16" t="str">
        <x:v>Direct protected route after coach preflight</x:v>
      </x:c>
      <x:c r="K162" s="16" t="str">
        <x:v>Ready route shows persisted 15-minute session buffer</x:v>
      </x:c>
      <x:c r="L162" s="16" t="str">
        <x:v>1</x:v>
      </x:c>
      <x:c r="M162" s="16" t="str">
        <x:v>intentional API failure</x:v>
      </x:c>
      <x:c r="N162" s="16" t="str">
        <x:v>Intercept PATCH; press Increase Session buffer; require error; require 15 min restored and 20 min absent</x:v>
      </x:c>
      <x:c r="O162" s="16" t="str">
        <x:v>Prove rollback without writing staging while keeping all undeclared network and console failures fatal</x:v>
      </x:c>
      <x:c r="P162" s="16" t="str">
        <x:v>The exact 503 response and console line were reconciled; banner and rollback assertions passed; profile completed 1/1 severity none</x:v>
      </x:c>
      <x:c r="Q162" s="16" t="str">
        <x:v>intercepted PATCH /v1/coaches/me/scheduling-rules</x:v>
      </x:c>
      <x:c r="R162" s="16" t="str">
        <x:v>503 Service unavailable; upstream API received no PATCH</x:v>
      </x:c>
      <x:c r="S162" s="16" t="str">
        <x:v>not applicable</x:v>
      </x:c>
      <x:c r="T162" s="16" t="str">
        <x:v>SchedulingRule</x:v>
      </x:c>
      <x:c r="U162" s="16" t="str">
        <x:v>No database mutation</x:v>
      </x:c>
      <x:c r="V162" s="16" t="str">
        <x:v>Not exercised because request was intercepted</x:v>
      </x:c>
      <x:c r="W162" s="16" t="str">
        <x:v>No update audit expected because Fastify was not reached</x:v>
      </x:c>
      <x:c r="X162" s="16" t="str"/>
      <x:c r="Y162" s="16" t="str">
        <x:v>Sentry reads remain blocked by HTTP 403; no unexpected runtime finding</x:v>
      </x:c>
      <x:c r="Z162" s="16" t="str">
        <x:v>QA flows using the dedicated profile</x:v>
      </x:c>
      <x:c r="AA162" s="16" t="str">
        <x:v>Normal profiles remain strict; only this flow permits the exact declared response and console errors</x:v>
      </x:c>
      <x:c r="AB162" s="16" t="str">
        <x:v>not applicable</x:v>
      </x:c>
      <x:c r="AC162" s="16" t="str">
        <x:v>not applicable</x:v>
      </x:c>
      <x:c r="AD162" s="16" t="str">
        <x:v>not applicable</x:v>
      </x:c>
      <x:c r="AE162" s="16" t="str">
        <x:v>not applicable</x:v>
      </x:c>
      <x:c r="AF162" s="16" t="str">
        <x:v>not applicable</x:v>
      </x:c>
      <x:c r="AG162" s="16" t="str">
        <x:v>Responsive failure harness; native automation remains blocked by host DevToolsSecurity</x:v>
      </x:c>
      <x:c r="AH162" s="16" t="str">
        <x:v>protects football booking-rule integrity</x:v>
      </x:c>
      <x:c r="AI162" s="16" t="str">
        <x:v>Failure screenshot shows the backend-confirmed 15-minute value and direct banner</x:v>
      </x:c>
      <x:c r="AJ162" s="16" t="str">
        <x:v>Interaction uses the named Increase Session buffer button</x:v>
      </x:c>
      <x:c r="AK162" s="16" t="str">
        <x:v>fixed</x:v>
      </x:c>
      <x:c r="AL162" s="16" t="str">
        <x:v>high</x:v>
      </x:c>
      <x:c r="AM162" s="16" t="str">
        <x:v>reviews/ios-native-audit/runtime/2026-07-31/settings-coaching-save-failure-final-2/report.json | reviews/ios-native-audit/runtime/2026-07-31/settings-coaching-save-failure-final-2/coach__coach_settings_coaching_save_failure.png | scripts/ui-flow-checks-50.mjs</x:v>
      </x:c>
      <x:c r="AN162" s="16" t="str">
        <x:v>The audit suite could not previously prove coaching-rule failure handling without mutating staging</x:v>
      </x:c>
      <x:c r="AO162" s="16" t="str">
        <x:v>fix(settings): harden coaching rules</x:v>
      </x:c>
      <x:c r="AP162" s="16" t="str">
        <x:v>Dedicated failure profile passed 1/1 with all exact expected errors observed and no unexpected finding</x:v>
      </x:c>
      <x:c r="AQ162" s="16" t="str">
        <x:v>The intercepted PATCH never reached staging or production.</x:v>
      </x:c>
    </x:row>
    <x:row r="163" ht="48" customHeight="1">
      <x:c r="A163" s="18" t="str">
        <x:v>ROUTE-128</x:v>
      </x:c>
      <x:c r="B163" s="16" t="str">
        <x:v>coach_settings_help</x:v>
      </x:c>
      <x:c r="C163" s="16" t="str">
        <x:v>Coach opens simplified Help and exercises non-submitting interactions</x:v>
      </x:c>
      <x:c r="D163" s="16" t="str">
        <x:v>coach; shared authenticated roles</x:v>
      </x:c>
      <x:c r="E163" s="16" t="str">
        <x:v>app/settings/help.tsx</x:v>
      </x:c>
      <x:c r="F163" s="16" t="str">
        <x:v>Help &amp; Support</x:v>
      </x:c>
      <x:c r="G163" s="16" t="str">
        <x:v>ready; feedback chooser; FAQ expanded/collapsed</x:v>
      </x:c>
      <x:c r="H163" s="16" t="str">
        <x:v>iPhone 16 Pro responsive browser viewport</x:v>
      </x:c>
      <x:c r="I163" s="16" t="str">
        <x:v>local Expo web bundle backed by staging API</x:v>
      </x:c>
      <x:c r="J163" s="16" t="str">
        <x:v>/settings/help</x:v>
      </x:c>
      <x:c r="K163" s="16" t="str">
        <x:v>Authenticated staging coach; configured support and feedback addresses</x:v>
      </x:c>
      <x:c r="L163" s="16" t="str">
        <x:v>1</x:v>
      </x:c>
      <x:c r="M163" s="16" t="str">
        <x:v>ready read-only; chooser cancel; FAQ disclosure</x:v>
      </x:c>
      <x:c r="N163" s="16" t="str">
        <x:v>Navigate directly; require heading/back bounds and concise outcomes; open then cancel feedback; expand, collapse and reopen the first answer; assert deleted controls remain absent</x:v>
      </x:c>
      <x:c r="O163" s="16" t="str">
        <x:v>Only distinct working outcomes remain; the chooser cancels without email; disclosure state changes are visible and accessible</x:v>
      </x:c>
      <x:c r="P163" s="16" t="str">
        <x:v>Route passed 1/1 with severity none; feedback chooser opened and cancelled; FAQ opened, closed and reopened; no external side effect occurred</x:v>
      </x:c>
      <x:c r="Q163" s="16" t="str">
        <x:v>mailto support@clubroom.app and feedback@clubroom.app traced; no HTTP product endpoint</x:v>
      </x:c>
      <x:c r="R163" s="16" t="str">
        <x:v>No email client, report submission or API mutation invoked</x:v>
      </x:c>
      <x:c r="S163" s="16" t="str"/>
      <x:c r="T163" s="16" t="str">
        <x:v>none</x:v>
      </x:c>
      <x:c r="U163" s="16" t="str">
        <x:v>No database read or mutation required by the screen interaction</x:v>
      </x:c>
      <x:c r="V163" s="16" t="str">
        <x:v>not applicable; support actions leave the app through explicit mailto URLs</x:v>
      </x:c>
      <x:c r="W163" s="16" t="str">
        <x:v>No product audit event expected because no support or feedback message was submitted</x:v>
      </x:c>
      <x:c r="X163" s="16" t="str"/>
      <x:c r="Y163" s="16" t="str">
        <x:v>Current Sentry issue token remains blocked by HTTP 403; accepted route had no unexpected console, request or runtime issue</x:v>
      </x:c>
      <x:c r="Z163" s="16" t="str">
        <x:v>all authenticated roles</x:v>
      </x:c>
      <x:c r="AA163" s="16" t="str">
        <x:v>Coach route passed; the shared Help surface and external URL boundary apply across authenticated roles</x:v>
      </x:c>
      <x:c r="AB163" s="16" t="str">
        <x:v>passed</x:v>
      </x:c>
      <x:c r="AC163" s="16" t="str">
        <x:v>passed</x:v>
      </x:c>
      <x:c r="AD163" s="16" t="str">
        <x:v>removed contextless session-report shortcut, install-link-free share action, duplicate support card and hard-coded debug footer</x:v>
      </x:c>
      <x:c r="AE163" s="16" t="str">
        <x:v>replaced five floating FAQ cards and explanatory filler with one compact operational disclosure section</x:v>
      </x:c>
      <x:c r="AF163" s="16" t="str">
        <x:v>passed after correcting a non-existent Find a session instruction to the executable Bookings &gt; Discover flow</x:v>
      </x:c>
      <x:c r="AG163" s="16" t="str">
        <x:v>Shared React Native surface passed responsive runtime; native email/action-sheet interaction remains blocked by host DevToolsSecurity</x:v>
      </x:c>
      <x:c r="AH163" s="16" t="str">
        <x:v>football booking discovery, cancellation, coaching verification, off-app payments and coach availability</x:v>
      </x:c>
      <x:c r="AI163" s="16" t="str">
        <x:v>390px final screenshot manually accepted with 0 overflow, 0 nested buttons and a restored top-of-route capture</x:v>
      </x:c>
      <x:c r="AJ163" s="16" t="str">
        <x:v>Back, support, feedback and each FAQ expose explicit button names; disclosures expose expanded state and show/hide hints; native VoiceOver remains unverified</x:v>
      </x:c>
      <x:c r="AK163" s="16" t="str">
        <x:v>passed</x:v>
      </x:c>
      <x:c r="AL163" s="16" t="str">
        <x:v>high</x:v>
      </x:c>
      <x:c r="AM163" s="16" t="str">
        <x:v>reviews/ios-native-audit/runtime/2026-07-31/settings-help-simplified-final-6/report.json | reviews/ios-native-audit/runtime/2026-07-31/settings-help-simplified-final-6/coach__coach_settings_help.png | __tests__/hooks/help-screen-outcomes.test.ts | hooks/use-help-screen.ts</x:v>
      </x:c>
      <x:c r="AN163" s="16" t="str">
        <x:v>General Help routed session reports without booking context, shared useless install-free marketing copy, repeated the support email, exposed stale hard-coded version text and contained one invented flow label</x:v>
      </x:c>
      <x:c r="AO163" s="16" t="str">
        <x:v>fix(ui): simplify help and support</x:v>
      </x:c>
      <x:c r="AP163" s="16" t="str">
        <x:v>2/2 focused tests, root typecheck/test compile, lint/syntax/diff checks and final interactive route replay 1/1 passed</x:v>
      </x:c>
      <x:c r="AQ163" s="16" t="str">
        <x:v>Non-destructive: no email, incident, review, API mutation, database mutation or production test ran; React Doctor changed scope reported only unrelated dirty hooks/use-group-session.ts</x:v>
      </x:c>
    </x:row>
    <x:row r="164" ht="48" customHeight="1">
      <x:c r="A164" s="18" t="str">
        <x:v>ROUTE-129</x:v>
      </x:c>
      <x:c r="B164" s="16" t="str">
        <x:v>coach_settings | parent_settings | athlete_settings</x:v>
      </x:c>
      <x:c r="C164" s="16" t="str">
        <x:v>Coach opens settings | Parent opens settings | Athlete opens settings</x:v>
      </x:c>
      <x:c r="D164" s="16" t="str">
        <x:v>coach parent athlete</x:v>
      </x:c>
      <x:c r="E164" s="16" t="str">
        <x:v>app/settings/index.tsx</x:v>
      </x:c>
      <x:c r="F164" s="16" t="str">
        <x:v>app/settings/index.tsx</x:v>
      </x:c>
      <x:c r="G164" s="16" t="str">
        <x:v>responsive route load and configured non-mutating assertions</x:v>
      </x:c>
      <x:c r="H164" s="16" t="str">
        <x:v>iPhone 16 Pro responsive browser viewport</x:v>
      </x:c>
      <x:c r="I164" s="16" t="str">
        <x:v>local Expo web bundle backed by staging API</x:v>
      </x:c>
      <x:c r="J164" s="16" t="str">
        <x:v>/settings</x:v>
      </x:c>
      <x:c r="K164" s="16" t="str">
        <x:v>Authenticated seeded role account and linked staging dataset</x:v>
      </x:c>
      <x:c r="L164" s="16" t="str">
        <x:v>1</x:v>
      </x:c>
      <x:c r="M164" s="16" t="str">
        <x:v>coach_settings | parent_settings | athlete_settings</x:v>
      </x:c>
      <x:c r="N164" s="16" t="str">
        <x:v>Navigate directly and execute the flow runner assertions without submitting a product mutation</x:v>
      </x:c>
      <x:c r="O164" s="16" t="str">
        <x:v>Resolve the intended route without a failed request runtime exception shared error state nested button horizontal overflow or product-text finding</x:v>
      </x:c>
      <x:c r="P164" s="16" t="str">
        <x:v>3/3 mapped flows returned status ok and severity none at 390px</x:v>
      </x:c>
      <x:c r="Q164" s="16" t="str">
        <x:v>Browser-observed role-scoped route requests</x:v>
      </x:c>
      <x:c r="R164" s="16" t="str">
        <x:v>No failed request detected; exact endpoint-by-endpoint reconciliation remains a separate audit gap</x:v>
      </x:c>
      <x:c r="S164" s="16" t="str"/>
      <x:c r="T164" s="16" t="str"/>
      <x:c r="U164" s="16" t="str">
        <x:v>No database mutation executed by this route-load regression</x:v>
      </x:c>
      <x:c r="V164" s="16" t="str">
        <x:v>Not directly exercised in this route-load regression</x:v>
      </x:c>
      <x:c r="W164" s="16" t="str">
        <x:v>Not reconciled in this route-load regression</x:v>
      </x:c>
      <x:c r="X164" s="16" t="str"/>
      <x:c r="Y164" s="16" t="str">
        <x:v>Sentry API unavailable; runner detected no runtime exception or console error classified as high or medium</x:v>
      </x:c>
      <x:c r="Z164" s="16" t="str">
        <x:v>coach parent athlete</x:v>
      </x:c>
      <x:c r="AA164" s="16" t="str">
        <x:v>coach, parent, athlete mapped route flows passed</x:v>
      </x:c>
      <x:c r="AB164" s="16" t="str">
        <x:v>automated route pass; manual visual corpus tracked separately</x:v>
      </x:c>
      <x:c r="AC164" s="16" t="str">
        <x:v>configured actions passed where present; otherwise route-load only</x:v>
      </x:c>
      <x:c r="AD164" s="16" t="str">
        <x:v>no automated high or medium finding</x:v>
      </x:c>
      <x:c r="AE164" s="16" t="str">
        <x:v>0 product-text findings</x:v>
      </x:c>
      <x:c r="AF164" s="16" t="str">
        <x:v>0 product-text findings</x:v>
      </x:c>
      <x:c r="AG164" s="16" t="str">
        <x:v>Shared React Native surface passed responsive runtime; native interaction remains blocked by host DevToolsSecurity</x:v>
      </x:c>
      <x:c r="AH164" s="16" t="str">
        <x:v>football product route</x:v>
      </x:c>
      <x:c r="AI164" s="16" t="str">
        <x:v>390px viewport with 0 horizontal overflow</x:v>
      </x:c>
      <x:c r="AJ164" s="16" t="str">
        <x:v>0 nested buttons; native semantic tree and VoiceOver remain unverified</x:v>
      </x:c>
      <x:c r="AK164" s="16" t="str">
        <x:v>passed</x:v>
      </x:c>
      <x:c r="AL164" s="16" t="str"/>
      <x:c r="AM164" s="16" t="str">
        <x:v>reviews/ios-native-audit/runtime/2026-07-31/report.merged.json</x:v>
      </x:c>
      <x:c r="AN164" s="16" t="str"/>
      <x:c r="AO164" s="16" t="str">
        <x:v>chore(audit): reconcile responsive route evidence</x:v>
      </x:c>
      <x:c r="AP164" s="16" t="str">
        <x:v>3/3 fresh mapped flows passed on 2026-07-31</x:v>
      </x:c>
      <x:c r="AQ164" s="16" t="str">
        <x:v>Non-destructive responsive route evidence only; exact API request IDs database RLS audit-event and native checks remain explicit separate gaps</x:v>
      </x:c>
    </x:row>
    <x:row r="165" ht="48" customHeight="1">
      <x:c r="A165" s="18" t="str">
        <x:v>ROUTE-130</x:v>
      </x:c>
      <x:c r="B165" s="16" t="str">
        <x:v>coach_settings_notifications</x:v>
      </x:c>
      <x:c r="C165" s="16" t="str">
        <x:v>Coach opens notification settings alias</x:v>
      </x:c>
      <x:c r="D165" s="16" t="str">
        <x:v>coach</x:v>
      </x:c>
      <x:c r="E165" s="16" t="str">
        <x:v>app/settings/notifications/index.tsx</x:v>
      </x:c>
      <x:c r="F165" s="16" t="str">
        <x:v>Notifications</x:v>
      </x:c>
      <x:c r="G165" s="16" t="str">
        <x:v>ready shared preferences and bounded header</x:v>
      </x:c>
      <x:c r="H165" s="16" t="str">
        <x:v>iPhone 16 Pro responsive browser viewport</x:v>
      </x:c>
      <x:c r="I165" s="16" t="str">
        <x:v>local Expo web bundle backed by staging API</x:v>
      </x:c>
      <x:c r="J165" s="16" t="str">
        <x:v>/settings/notifications</x:v>
      </x:c>
      <x:c r="K165" s="16" t="str">
        <x:v>Authenticated staging coach with notification preferences</x:v>
      </x:c>
      <x:c r="L165" s="16" t="str">
        <x:v>1</x:v>
      </x:c>
      <x:c r="M165" s="16" t="str">
        <x:v>route alias ready read</x:v>
      </x:c>
      <x:c r="N165" s="16" t="str">
        <x:v>Navigate directly; require Notifications and NOTIFICATION CHANNELS; require Go back and heading inside the viewport; assert scroll position zero</x:v>
      </x:c>
      <x:c r="O165" s="16" t="str">
        <x:v>The alias renders the canonical preferences screen with a complete title and a safe escape path</x:v>
      </x:c>
      <x:c r="P165" s="16" t="str">
        <x:v>Alias rendered Notifications with the shared PageHeader; ready content and both header targets passed viewport bounds; status ok and severity none</x:v>
      </x:c>
      <x:c r="Q165" s="16" t="str">
        <x:v>GET /v1/me/notifications</x:v>
      </x:c>
      <x:c r="R165" s="16" t="str">
        <x:v>Authenticated preference read succeeded; accepted five-flow chunk passed 5/5 and submitted no PATCH</x:v>
      </x:c>
      <x:c r="S165" s="16" t="str"/>
      <x:c r="T165" s="16" t="str">
        <x:v>NotificationPreference | QuietHours | MutedSource</x:v>
      </x:c>
      <x:c r="U165" s="16" t="str">
        <x:v>Read-only route replay; no database mutation executed</x:v>
      </x:c>
      <x:c r="V165" s="16" t="str">
        <x:v>Self-scoped Fastify authority retained; direct database RLS was not re-run in this visual slice</x:v>
      </x:c>
      <x:c r="W165" s="16" t="str">
        <x:v>No mutation and no notification.preferences.update audit expected</x:v>
      </x:c>
      <x:c r="X165" s="16" t="str"/>
      <x:c r="Y165" s="16" t="str">
        <x:v>Sentry API unavailable; runner detected no runtime exception or console error classified high or medium</x:v>
      </x:c>
      <x:c r="Z165" s="16" t="str">
        <x:v>all authenticated roles</x:v>
      </x:c>
      <x:c r="AA165" s="16" t="str">
        <x:v>Coach mapped alias passed; canonical shared screen applies to every authenticated role</x:v>
      </x:c>
      <x:c r="AB165" s="16" t="str">
        <x:v>passed</x:v>
      </x:c>
      <x:c r="AC165" s="16" t="str">
        <x:v>passed</x:v>
      </x:c>
      <x:c r="AD165" s="16" t="str">
        <x:v>removed one-off header implementation and history-only back behavior</x:v>
      </x:c>
      <x:c r="AE165" s="16" t="str">
        <x:v>passed after shortening an initially truncated long title</x:v>
      </x:c>
      <x:c r="AF165" s="16" t="str">
        <x:v>passed</x:v>
      </x:c>
      <x:c r="AG165" s="16" t="str">
        <x:v>Shared React Native surface passed responsive runtime; native interaction remains blocked by host DevToolsSecurity</x:v>
      </x:c>
      <x:c r="AH165" s="16" t="str">
        <x:v>football booking message schedule and account notification controls</x:v>
      </x:c>
      <x:c r="AI165" s="16" t="str">
        <x:v>390px screenshot manually verified with complete title and bounded back action</x:v>
      </x:c>
      <x:c r="AJ165" s="16" t="str">
        <x:v>Shared PageHeader exposes Go back and falls back to Settings when no history exists; native VoiceOver remains unverified</x:v>
      </x:c>
      <x:c r="AK165" s="16" t="str">
        <x:v>passed</x:v>
      </x:c>
      <x:c r="AL165" s="16" t="str">
        <x:v>high</x:v>
      </x:c>
      <x:c r="AM165" s="16" t="str">
        <x:v>reviews/ios-native-audit/runtime/2026-07-31/settings-notification-header-final/report.json | reviews/ios-native-audit/runtime/2026-07-31/settings-notification-header-final/coach__coach_settings_notifications.png</x:v>
      </x:c>
      <x:c r="AN165" s="16" t="str">
        <x:v>Alias used a custom header with a non-standard Back label and no fallback; the first shared-header title was too long and visibly truncated</x:v>
      </x:c>
      <x:c r="AO165" s="16" t="str">
        <x:v>fix(ui): standardize notification settings header</x:v>
      </x:c>
      <x:c r="AP165" s="16" t="str">
        <x:v>5/5 ready-state chunk passed including both notification aliases; screenshot manually inspected</x:v>
      </x:c>
      <x:c r="AQ165" s="16" t="str">
        <x:v>Read-only replay; no preference or staging data was changed</x:v>
      </x:c>
    </x:row>
    <x:row r="166" ht="48" customHeight="1">
      <x:c r="A166" s="18" t="str">
        <x:v>ROUTE-131</x:v>
      </x:c>
      <x:c r="B166" s="16" t="str">
        <x:v>coach_settings_notification_preferences</x:v>
      </x:c>
      <x:c r="C166" s="16" t="str">
        <x:v>Coach opens canonical notification preferences</x:v>
      </x:c>
      <x:c r="D166" s="16" t="str">
        <x:v>coach</x:v>
      </x:c>
      <x:c r="E166" s="16" t="str">
        <x:v>app/settings/notifications/preferences.tsx</x:v>
      </x:c>
      <x:c r="F166" s="16" t="str">
        <x:v>Notifications</x:v>
      </x:c>
      <x:c r="G166" s="16" t="str">
        <x:v>ready shared preferences and bounded header</x:v>
      </x:c>
      <x:c r="H166" s="16" t="str">
        <x:v>iPhone 16 Pro responsive browser viewport</x:v>
      </x:c>
      <x:c r="I166" s="16" t="str">
        <x:v>local Expo web bundle backed by staging API</x:v>
      </x:c>
      <x:c r="J166" s="16" t="str">
        <x:v>/settings/notifications/preferences</x:v>
      </x:c>
      <x:c r="K166" s="16" t="str">
        <x:v>Authenticated staging coach with notification preferences</x:v>
      </x:c>
      <x:c r="L166" s="16" t="str">
        <x:v>1</x:v>
      </x:c>
      <x:c r="M166" s="16" t="str">
        <x:v>canonical ready read</x:v>
      </x:c>
      <x:c r="N166" s="16" t="str">
        <x:v>Navigate directly; require Notifications and NOTIFICATION CHANNELS; require Go back and heading inside the viewport; assert scroll position zero</x:v>
      </x:c>
      <x:c r="O166" s="16" t="str">
        <x:v>The canonical route renders ready preferences with a complete title and direct-entry fallback</x:v>
      </x:c>
      <x:c r="P166" s="16" t="str">
        <x:v>Canonical route rendered Notifications with the shared PageHeader; ready content and both header targets passed viewport bounds; status ok and severity none</x:v>
      </x:c>
      <x:c r="Q166" s="16" t="str">
        <x:v>GET /v1/me/notifications</x:v>
      </x:c>
      <x:c r="R166" s="16" t="str">
        <x:v>Authenticated preference read succeeded; accepted five-flow chunk passed 5/5 and submitted no PATCH</x:v>
      </x:c>
      <x:c r="S166" s="16" t="str"/>
      <x:c r="T166" s="16" t="str">
        <x:v>NotificationPreference | QuietHours | MutedSource</x:v>
      </x:c>
      <x:c r="U166" s="16" t="str">
        <x:v>Read-only route replay; no database mutation executed</x:v>
      </x:c>
      <x:c r="V166" s="16" t="str">
        <x:v>Self-scoped Fastify authority retained; direct database RLS was not re-run in this visual slice</x:v>
      </x:c>
      <x:c r="W166" s="16" t="str">
        <x:v>No mutation and no notification.preferences.update audit expected</x:v>
      </x:c>
      <x:c r="X166" s="16" t="str"/>
      <x:c r="Y166" s="16" t="str">
        <x:v>Sentry API unavailable; runner detected no runtime exception or console error classified high or medium</x:v>
      </x:c>
      <x:c r="Z166" s="16" t="str">
        <x:v>all authenticated roles</x:v>
      </x:c>
      <x:c r="AA166" s="16" t="str">
        <x:v>Coach canonical route passed; shared screen applies to every authenticated role</x:v>
      </x:c>
      <x:c r="AB166" s="16" t="str">
        <x:v>passed</x:v>
      </x:c>
      <x:c r="AC166" s="16" t="str">
        <x:v>passed</x:v>
      </x:c>
      <x:c r="AD166" s="16" t="str">
        <x:v>removed one-off header implementation and history-only back behavior</x:v>
      </x:c>
      <x:c r="AE166" s="16" t="str">
        <x:v>passed after shortening an initially truncated long title</x:v>
      </x:c>
      <x:c r="AF166" s="16" t="str">
        <x:v>passed</x:v>
      </x:c>
      <x:c r="AG166" s="16" t="str">
        <x:v>Shared React Native surface passed responsive runtime; native interaction remains blocked by host DevToolsSecurity</x:v>
      </x:c>
      <x:c r="AH166" s="16" t="str">
        <x:v>football booking message schedule and account notification controls</x:v>
      </x:c>
      <x:c r="AI166" s="16" t="str">
        <x:v>390px screenshot manually verified with complete title and bounded back action</x:v>
      </x:c>
      <x:c r="AJ166" s="16" t="str">
        <x:v>Shared PageHeader exposes Go back and falls back to Settings when no history exists; native VoiceOver remains unverified</x:v>
      </x:c>
      <x:c r="AK166" s="16" t="str">
        <x:v>passed</x:v>
      </x:c>
      <x:c r="AL166" s="16" t="str">
        <x:v>high</x:v>
      </x:c>
      <x:c r="AM166" s="16" t="str">
        <x:v>reviews/ios-native-audit/runtime/2026-07-31/settings-notification-header-final/report.json | reviews/ios-native-audit/runtime/2026-07-31/settings-notification-header-final/coach__coach_settings_notification_preferences.png</x:v>
      </x:c>
      <x:c r="AN166" s="16" t="str">
        <x:v>Canonical route used a custom header with a non-standard Back label and no fallback; the first shared-header title was too long and visibly truncated</x:v>
      </x:c>
      <x:c r="AO166" s="16" t="str">
        <x:v>fix(ui): standardize notification settings header</x:v>
      </x:c>
      <x:c r="AP166" s="16" t="str">
        <x:v>5/5 ready-state chunk passed including both notification aliases; screenshot manually inspected</x:v>
      </x:c>
      <x:c r="AQ166" s="16" t="str">
        <x:v>Read-only replay; no preference or staging data was changed</x:v>
      </x:c>
    </x:row>
    <x:row r="167" ht="48" customHeight="1">
      <x:c r="A167" s="18" t="str">
        <x:v>ROUTE-132</x:v>
      </x:c>
      <x:c r="B167" s="16" t="str">
        <x:v>coach_settings_privacy_policy</x:v>
      </x:c>
      <x:c r="C167" s="16" t="str">
        <x:v>Coach opens Privacy Policy and reviews legal readiness</x:v>
      </x:c>
      <x:c r="D167" s="16" t="str">
        <x:v>all authenticated roles</x:v>
      </x:c>
      <x:c r="E167" s="16" t="str">
        <x:v>app/settings/privacy-policy.tsx</x:v>
      </x:c>
      <x:c r="F167" s="16" t="str">
        <x:v>Privacy Policy</x:v>
      </x:c>
      <x:c r="G167" s="16" t="str">
        <x:v>static route; content review; release blocker</x:v>
      </x:c>
      <x:c r="H167" s="16" t="str">
        <x:v>iPhone 16 Pro responsive browser viewport</x:v>
      </x:c>
      <x:c r="I167" s="16" t="str">
        <x:v>local Expo web bundle backed by staging API</x:v>
      </x:c>
      <x:c r="J167" s="16" t="str">
        <x:v>/settings/privacy-policy</x:v>
      </x:c>
      <x:c r="K167" s="16" t="str">
        <x:v>Authenticated staging coach; current privacy draft dated 1 January 2025</x:v>
      </x:c>
      <x:c r="L167" s="16" t="str">
        <x:v>1</x:v>
      </x:c>
      <x:c r="M167" s="16" t="str">
        <x:v>static render and legal completeness</x:v>
      </x:c>
      <x:c r="N167" s="16" t="str">
        <x:v>Navigate directly; require Privacy Policy, Go back and Introduction in the viewport; review every section against executable data flows and current official ICO notice requirements</x:v>
      </x:c>
      <x:c r="O167" s="16" t="str">
        <x:v>Route is readable and navigable, while any missing legal fact remains explicitly blocked rather than inferred</x:v>
      </x:c>
      <x:c r="P167" s="16" t="str">
        <x:v>Responsive route passed 1/1 with severity none and the shared back fallback is implemented; substantive policy approval failed because required controller and processing facts are absent</x:v>
      </x:c>
      <x:c r="Q167" s="16" t="str">
        <x:v>none; static document</x:v>
      </x:c>
      <x:c r="R167" s="16" t="str">
        <x:v>No request or mutation issued</x:v>
      </x:c>
      <x:c r="S167" s="16" t="str"/>
      <x:c r="T167" s="16" t="str">
        <x:v>none</x:v>
      </x:c>
      <x:c r="U167" s="16" t="str">
        <x:v>No database read or mutation</x:v>
      </x:c>
      <x:c r="V167" s="16" t="str">
        <x:v>not applicable; static route</x:v>
      </x:c>
      <x:c r="W167" s="16" t="str">
        <x:v>No audit event expected for reading a static legal document</x:v>
      </x:c>
      <x:c r="X167" s="16" t="str"/>
      <x:c r="Y167" s="16" t="str">
        <x:v>Current Sentry issue token returns HTTP 403; accepted route had no unexpected browser issue</x:v>
      </x:c>
      <x:c r="Z167" s="16" t="str">
        <x:v>coach; parent; guardian; athlete; admin</x:v>
      </x:c>
      <x:c r="AA167" s="16" t="str">
        <x:v>Shared static route behavior applies to authenticated roles; legal blocker applies to every user</x:v>
      </x:c>
      <x:c r="AB167" s="16" t="str">
        <x:v>passed</x:v>
      </x:c>
      <x:c r="AC167" s="16" t="str">
        <x:v>passed</x:v>
      </x:c>
      <x:c r="AD167" s="16" t="str">
        <x:v>no duplicate controls; static document uses one list</x:v>
      </x:c>
      <x:c r="AE167" s="16" t="str">
        <x:v>plain document layout retained</x:v>
      </x:c>
      <x:c r="AF167" s="16" t="str">
        <x:v>blocked: copy is readable but not legally complete or fully aligned to runtime truth</x:v>
      </x:c>
      <x:c r="AG167" s="16" t="str">
        <x:v>Shared React Native FlatList passed responsive runtime; native interaction remains blocked by DevToolsSecurity</x:v>
      </x:c>
      <x:c r="AH167" s="16" t="str">
        <x:v>covers football bookings, child data, coach verification and safeguarding</x:v>
      </x:c>
      <x:c r="AI167" s="16" t="str">
        <x:v>390px screenshot manually accepted with header, date and document hierarchy visible</x:v>
      </x:c>
      <x:c r="AJ167" s="16" t="str">
        <x:v>PageHeader exposes Go back and now has a Settings fallback; native VoiceOver remains unverified</x:v>
      </x:c>
      <x:c r="AK167" s="16" t="str">
        <x:v>blocked</x:v>
      </x:c>
      <x:c r="AL167" s="16" t="str">
        <x:v>high</x:v>
      </x:c>
      <x:c r="AM167" s="16" t="str">
        <x:v>reviews/ios-native-audit/runtime/2026-07-31/settings-legal-privacy-final/report.json | reviews/ios-native-audit/runtime/2026-07-31/settings-legal-privacy-final/coach__coach_settings_privacy_policy.png | app/settings/privacy-policy.tsx | https://ico.org.uk/for-organisations/uk-gdpr-guidance-and-resources/individual-rights/the-right-to-be-informed/what-privacy-information-should-we-provide/</x:v>
      </x:c>
      <x:c r="AN167" s="16" t="str">
        <x:v>The draft lacks controller identity, lawful bases, provider/recipient detail, transfer facts and a defensible retention schedule; its child-access statement also conflicts with assignment-based runtime authority</x:v>
      </x:c>
      <x:c r="AO167" s="16" t="str">
        <x:v>fix(ui): harden legal route navigation</x:v>
      </x:c>
      <x:c r="AP167" s="16" t="str">
        <x:v>UI route 1/1 and shared navigation tests 2/2 passed; substantive legal review remains blocked</x:v>
      </x:c>
      <x:c r="AQ167" s="16" t="str">
        <x:v>Do not mark launch-ready until the legal entity, processing inventory, provider/transfer map, retention schedule and counsel approval exist</x:v>
      </x:c>
    </x:row>
    <x:row r="168" ht="48" customHeight="1">
      <x:c r="A168" s="18" t="str">
        <x:v>ROUTE-133</x:v>
      </x:c>
      <x:c r="B168" s="16" t="str">
        <x:v>coach_settings_privacy</x:v>
      </x:c>
      <x:c r="C168" s="16" t="str">
        <x:v>Coach opens functional privacy settings</x:v>
      </x:c>
      <x:c r="D168" s="16" t="str">
        <x:v>coach</x:v>
      </x:c>
      <x:c r="E168" s="16" t="str">
        <x:v>app/settings/privacy.tsx</x:v>
      </x:c>
      <x:c r="F168" s="16" t="str">
        <x:v>Privacy</x:v>
      </x:c>
      <x:c r="G168" s="16" t="str">
        <x:v>ready functional controls</x:v>
      </x:c>
      <x:c r="H168" s="16" t="str">
        <x:v>iPhone 16 Pro responsive browser viewport</x:v>
      </x:c>
      <x:c r="I168" s="16" t="str">
        <x:v>local Expo web bundle backed by staging API</x:v>
      </x:c>
      <x:c r="J168" s="16" t="str">
        <x:v>/settings/privacy</x:v>
      </x:c>
      <x:c r="K168" s="16" t="str">
        <x:v>Authenticated staging coach with backend privacy settings</x:v>
      </x:c>
      <x:c r="L168" s="16" t="str">
        <x:v>1</x:v>
      </x:c>
      <x:c r="M168" s="16" t="str">
        <x:v>ready read-only audit</x:v>
      </x:c>
      <x:c r="N168" s="16" t="str">
        <x:v>Navigate directly; require route heading and Profile Visibility; assert eight dead labels absent and scroll position zero</x:v>
      </x:c>
      <x:c r="O168" s="16" t="str">
        <x:v>Render only privacy choices enforced by product reads without failed requests, dead controls, overflow or product-text findings</x:v>
      </x:c>
      <x:c r="P168" s="16" t="str">
        <x:v>Public Profile and Show Location rendered active; eight dead/duplicate labels were absent; route status ok and severity none</x:v>
      </x:c>
      <x:c r="Q168" s="16" t="str">
        <x:v>GET /v1/me/privacy-settings | GET /v1/blocks</x:v>
      </x:c>
      <x:c r="R168" s="16" t="str">
        <x:v>No failed request detected; no PATCH or block mutation submitted</x:v>
      </x:c>
      <x:c r="S168" s="16" t="str"/>
      <x:c r="T168" s="16" t="str">
        <x:v>UserPrivacySetting | UserBlock</x:v>
      </x:c>
      <x:c r="U168" s="16" t="str">
        <x:v>No database mutation executed by route replay</x:v>
      </x:c>
      <x:c r="V168" s="16" t="str">
        <x:v>Existing self-scoped Fastify authority retained; direct RLS not re-run in route replay</x:v>
      </x:c>
      <x:c r="W168" s="16" t="str">
        <x:v>Existing privacy read authority is audited; isolated focused proof passed separately</x:v>
      </x:c>
      <x:c r="X168" s="16" t="str"/>
      <x:c r="Y168" s="16" t="str">
        <x:v>Sentry API unavailable; runner detected no runtime exception or console error classified high or medium</x:v>
      </x:c>
      <x:c r="Z168" s="16" t="str">
        <x:v>coach; shared authenticated privacy screen</x:v>
      </x:c>
      <x:c r="AA168" s="16" t="str">
        <x:v>Coach mapped route passed; shared screen simplification applies to every authenticated role</x:v>
      </x:c>
      <x:c r="AB168" s="16" t="str">
        <x:v>passed</x:v>
      </x:c>
      <x:c r="AC168" s="16" t="str">
        <x:v>passed</x:v>
      </x:c>
      <x:c r="AD168" s="16" t="str">
        <x:v>eight dead or duplicate labels absent</x:v>
      </x:c>
      <x:c r="AE168" s="16" t="str">
        <x:v>0 product-text findings</x:v>
      </x:c>
      <x:c r="AF168" s="16" t="str">
        <x:v>passed</x:v>
      </x:c>
      <x:c r="AG168" s="16" t="str">
        <x:v>Shared React Native surface passed responsive runtime; native interaction remains blocked by host DevToolsSecurity</x:v>
      </x:c>
      <x:c r="AH168" s="16" t="str">
        <x:v>role-safe account discovery in the football product</x:v>
      </x:c>
      <x:c r="AI168" s="16" t="str">
        <x:v>390px viewport with no automated layout finding and active controls manually verified</x:v>
      </x:c>
      <x:c r="AJ168" s="16" t="str">
        <x:v>Existing labelled switches and rows retained; native semantic tree and VoiceOver remain unverified</x:v>
      </x:c>
      <x:c r="AK168" s="16" t="str">
        <x:v>passed</x:v>
      </x:c>
      <x:c r="AL168" s="16" t="str"/>
      <x:c r="AM168" s="16" t="str">
        <x:v>reviews/ios-native-audit/runtime/2026-07-31/settings-privacy-functional-only-final/report.json</x:v>
      </x:c>
      <x:c r="AN168" s="16" t="str"/>
      <x:c r="AO168" s="16" t="str">
        <x:v>fix(ui): remove placebo privacy controls</x:v>
      </x:c>
      <x:c r="AP168" s="16" t="str">
        <x:v>1/1 ready-state route replay passed on 2026-07-31</x:v>
      </x:c>
      <x:c r="AQ168" s="16" t="str">
        <x:v>Non-destructive responsive evidence. Focused isolated Fastify proof separately verified self ownership, forged owner rejection, persistence and audit metadata.</x:v>
      </x:c>
    </x:row>
    <x:row r="169" ht="48" customHeight="1">
      <x:c r="A169" s="18" t="str">
        <x:v>ROUTE-134</x:v>
      </x:c>
      <x:c r="B169" s="16" t="str">
        <x:v>coach_settings_terms</x:v>
      </x:c>
      <x:c r="C169" s="16" t="str">
        <x:v>Coach opens Terms and reviews legal readiness</x:v>
      </x:c>
      <x:c r="D169" s="16" t="str">
        <x:v>all authenticated roles</x:v>
      </x:c>
      <x:c r="E169" s="16" t="str">
        <x:v>app/settings/terms.tsx</x:v>
      </x:c>
      <x:c r="F169" s="16" t="str">
        <x:v>Terms</x:v>
      </x:c>
      <x:c r="G169" s="16" t="str">
        <x:v>static route; compact header; content review; release blocker</x:v>
      </x:c>
      <x:c r="H169" s="16" t="str">
        <x:v>iPhone 16 Pro responsive browser viewport</x:v>
      </x:c>
      <x:c r="I169" s="16" t="str">
        <x:v>local Expo web bundle backed by staging API</x:v>
      </x:c>
      <x:c r="J169" s="16" t="str">
        <x:v>/settings/terms</x:v>
      </x:c>
      <x:c r="K169" s="16" t="str">
        <x:v>Authenticated staging coach; current terms draft dated 1 January 2025</x:v>
      </x:c>
      <x:c r="L169" s="16" t="str">
        <x:v>1</x:v>
      </x:c>
      <x:c r="M169" s="16" t="str">
        <x:v>static render and legal fairness</x:v>
      </x:c>
      <x:c r="N169" s="16" t="str">
        <x:v>Navigate directly; require compact Terms heading, Go back and Acceptance of Terms; review clauses against executable account, club-work and payment behavior and current CMA fairness guidance</x:v>
      </x:c>
      <x:c r="O169" s="16" t="str">
        <x:v>The title fits and navigation is safe, while unapproved or contradictory consumer terms remain blocked</x:v>
      </x:c>
      <x:c r="P169" s="16" t="str">
        <x:v>Responsive route passed 1/1 with severity none after shortening the header; content review found multiple runtime contradictions and potentially unfair unilateral clauses</x:v>
      </x:c>
      <x:c r="Q169" s="16" t="str">
        <x:v>none; static document</x:v>
      </x:c>
      <x:c r="R169" s="16" t="str">
        <x:v>No request or mutation issued</x:v>
      </x:c>
      <x:c r="S169" s="16" t="str"/>
      <x:c r="T169" s="16" t="str">
        <x:v>none</x:v>
      </x:c>
      <x:c r="U169" s="16" t="str">
        <x:v>No database read or mutation</x:v>
      </x:c>
      <x:c r="V169" s="16" t="str">
        <x:v>not applicable; static route</x:v>
      </x:c>
      <x:c r="W169" s="16" t="str">
        <x:v>No audit event expected for reading a static legal document</x:v>
      </x:c>
      <x:c r="X169" s="16" t="str"/>
      <x:c r="Y169" s="16" t="str">
        <x:v>Current Sentry issue token returns HTTP 403; accepted route had no unexpected browser issue</x:v>
      </x:c>
      <x:c r="Z169" s="16" t="str">
        <x:v>coach; parent; guardian; athlete; admin</x:v>
      </x:c>
      <x:c r="AA169" s="16" t="str">
        <x:v>Shared static route behavior applies to authenticated roles; legal blocker applies to every user</x:v>
      </x:c>
      <x:c r="AB169" s="16" t="str">
        <x:v>passed</x:v>
      </x:c>
      <x:c r="AC169" s="16" t="str">
        <x:v>passed</x:v>
      </x:c>
      <x:c r="AD169" s="16" t="str">
        <x:v>clipped long route title removed</x:v>
      </x:c>
      <x:c r="AE169" s="16" t="str">
        <x:v>plain document layout retained</x:v>
      </x:c>
      <x:c r="AF169" s="16" t="str">
        <x:v>blocked: terms remain unapproved and materially contradict account and commercial-mode behavior</x:v>
      </x:c>
      <x:c r="AG169" s="16" t="str">
        <x:v>Shared React Native FlatList passed responsive runtime; native interaction remains blocked by DevToolsSecurity</x:v>
      </x:c>
      <x:c r="AH169" s="16" t="str">
        <x:v>covers football bookings, coaches, clubs, cancellations and off-app payments</x:v>
      </x:c>
      <x:c r="AI169" s="16" t="str">
        <x:v>390px screenshot manually accepted after the route title was reduced to Terms</x:v>
      </x:c>
      <x:c r="AJ169" s="16" t="str">
        <x:v>PageHeader exposes Go back and now has a Settings fallback; native VoiceOver remains unverified</x:v>
      </x:c>
      <x:c r="AK169" s="16" t="str">
        <x:v>blocked</x:v>
      </x:c>
      <x:c r="AL169" s="16" t="str">
        <x:v>high</x:v>
      </x:c>
      <x:c r="AM169" s="16" t="str">
        <x:v>reviews/ios-native-audit/runtime/2026-07-31/settings-legal-terms-final/report.json | reviews/ios-native-audit/runtime/2026-07-31/settings-legal-terms-final/coach__coach_settings_terms.png | app/settings/terms.tsx | https://www.gov.uk/guidance/writing-a-fair-contract-for-customers</x:v>
      </x:c>
      <x:c r="AN169" s="16" t="str">
        <x:v>The draft says every account holder must be 18 although 13-17 self-registration exists, treats all coaches as independent despite club-assigned work, claims ownership of all content, and allows unilateral change or termination without reasonable notice</x:v>
      </x:c>
      <x:c r="AO169" s="16" t="str">
        <x:v>fix(ui): harden legal route navigation</x:v>
      </x:c>
      <x:c r="AP169" s="16" t="str">
        <x:v>UI route 1/1 and shared navigation tests 2/2 passed; substantive legal review remains blocked</x:v>
      </x:c>
      <x:c r="AQ169" s="16" t="str">
        <x:v>The liability and governing-law clauses also require qualified UK legal review before release</x:v>
      </x:c>
    </x:row>
    <x:row r="170" ht="48" customHeight="1">
      <x:c r="A170" s="18" t="str">
        <x:v>ROUTE-135</x:v>
      </x:c>
      <x:c r="B170" s="16" t="str">
        <x:v>coach_settings_travel_radius</x:v>
      </x:c>
      <x:c r="C170" s="16" t="str">
        <x:v>Coach opens travel radius</x:v>
      </x:c>
      <x:c r="D170" s="16" t="str">
        <x:v>coach</x:v>
      </x:c>
      <x:c r="E170" s="16" t="str">
        <x:v>app/settings/travel-radius.tsx</x:v>
      </x:c>
      <x:c r="F170" s="16" t="str">
        <x:v>Travel Radius</x:v>
      </x:c>
      <x:c r="G170" s="16" t="str">
        <x:v>ready settings; read-only route replay</x:v>
      </x:c>
      <x:c r="H170" s="16" t="str">
        <x:v>iPhone 16 Pro responsive browser viewport</x:v>
      </x:c>
      <x:c r="I170" s="16" t="str">
        <x:v>local Expo web bundle backed by staging API</x:v>
      </x:c>
      <x:c r="J170" s="16" t="str">
        <x:v>/settings/travel-radius</x:v>
      </x:c>
      <x:c r="K170" s="16" t="str">
        <x:v>Authenticated staging coach with postcode SW1A 1AA and persisted 10-mile radius</x:v>
      </x:c>
      <x:c r="L170" s="16" t="str">
        <x:v>1</x:v>
      </x:c>
      <x:c r="M170" s="16" t="str">
        <x:v>ready authority read</x:v>
      </x:c>
      <x:c r="N170" s="16" t="str">
        <x:v>Navigate directly; require header, compact service area, search radius and both session formats; assert old card copy absent and scroll position zero</x:v>
      </x:c>
      <x:c r="O170" s="16" t="str">
        <x:v>Render the actual coach travel controls in two compact sections without submitting a mutation</x:v>
      </x:c>
      <x:c r="P170" s="16" t="str">
        <x:v>Ready screen passed 1/1 with status ok and severity none; final screenshot manually accepted</x:v>
      </x:c>
      <x:c r="Q170" s="16" t="str">
        <x:v>GET /v1/coaches/me/travel-settings</x:v>
      </x:c>
      <x:c r="R170" s="16" t="str">
        <x:v>Authenticated read succeeded; no PATCH left the browser</x:v>
      </x:c>
      <x:c r="S170" s="16" t="str"/>
      <x:c r="T170" s="16" t="str">
        <x:v>CoachProfile</x:v>
      </x:c>
      <x:c r="U170" s="16" t="str">
        <x:v>Read-only staging replay; no database mutation</x:v>
      </x:c>
      <x:c r="V170" s="16" t="str">
        <x:v>Existing authenticated Fastify self authority retained; direct RLS was not re-run in this visual slice</x:v>
      </x:c>
      <x:c r="W170" s="16" t="str">
        <x:v>The read contract emits coach_travel_settings.read; isolated route proof passed separately</x:v>
      </x:c>
      <x:c r="X170" s="16" t="str"/>
      <x:c r="Y170" s="16" t="str">
        <x:v>blocked: current Sentry token returns HTTP 403 for issue reads; runner found no runtime exception</x:v>
      </x:c>
      <x:c r="Z170" s="16" t="str">
        <x:v>coach; families searching coaches downstream</x:v>
      </x:c>
      <x:c r="AA170" s="16" t="str">
        <x:v>Coach route passed; discovery continues to consume the persisted radius and format flags</x:v>
      </x:c>
      <x:c r="AB170" s="16" t="str">
        <x:v>passed</x:v>
      </x:c>
      <x:c r="AC170" s="16" t="str">
        <x:v>passed</x:v>
      </x:c>
      <x:c r="AD170" s="16" t="str">
        <x:v>oversized cards and redundant explanations removed</x:v>
      </x:c>
      <x:c r="AE170" s="16" t="str">
        <x:v>passed after deleting suggested-range coaching and decorative status icons</x:v>
      </x:c>
      <x:c r="AF170" s="16" t="str">
        <x:v>passed</x:v>
      </x:c>
      <x:c r="AG170" s="16" t="str">
        <x:v>Shared React Native surface passed responsive runtime; native interaction remains blocked by host DevToolsSecurity</x:v>
      </x:c>
      <x:c r="AH170" s="16" t="str">
        <x:v>coach discovery for in-person and remote football sessions</x:v>
      </x:c>
      <x:c r="AI170" s="16" t="str">
        <x:v>compact two-section settings hierarchy manually verified at 390px</x:v>
      </x:c>
      <x:c r="AJ170" s="16" t="str">
        <x:v>Go back, two switches and both radius buttons have explicit names; native VoiceOver remains unverified</x:v>
      </x:c>
      <x:c r="AK170" s="16" t="str">
        <x:v>passed</x:v>
      </x:c>
      <x:c r="AL170" s="16" t="str">
        <x:v>high</x:v>
      </x:c>
      <x:c r="AM170" s="16" t="str">
        <x:v>reviews/ios-native-audit/runtime/2026-07-31/settings-travel-radius-final/report.json | reviews/ios-native-audit/runtime/2026-07-31/settings-travel-radius-final/coach__coach_settings_travel_radius.png | apps/api/src/modules/coach-club/travel-settings.routes.test.ts</x:v>
      </x:c>
      <x:c r="AN170" s="16" t="str">
        <x:v>The route was reachable but unclassified and the existing screen inflated four settings into three oversized cards</x:v>
      </x:c>
      <x:c r="AO170" s="16" t="str">
        <x:v>fix(ui): simplify travel radius settings</x:v>
      </x:c>
      <x:c r="AP170" s="16" t="str">
        <x:v>ready-state route replay passed 1/1; screenshot manually inspected</x:v>
      </x:c>
      <x:c r="AQ170" s="16" t="str">
        <x:v>Read-only staging evidence. No radius, format flag or database row was changed.</x:v>
      </x:c>
    </x:row>
    <x:row r="171" ht="48" customHeight="1">
      <x:c r="A171" s="18" t="str">
        <x:v>ROUTE-136</x:v>
      </x:c>
      <x:c r="B171" s="16" t="str">
        <x:v>coach_squad_invite_screen</x:v>
      </x:c>
      <x:c r="C171" s="16" t="str">
        <x:v>Coach opens squad invite screen</x:v>
      </x:c>
      <x:c r="D171" s="16" t="str">
        <x:v>coach</x:v>
      </x:c>
      <x:c r="E171" s="16" t="str">
        <x:v>app/squads/[id]/invite.tsx</x:v>
      </x:c>
      <x:c r="F171" s="16" t="str">
        <x:v>app/squads/[id]/invite.tsx</x:v>
      </x:c>
      <x:c r="G171" s="16" t="str">
        <x:v>responsive route load and configured non-mutating assertions</x:v>
      </x:c>
      <x:c r="H171" s="16" t="str">
        <x:v>iPhone 16 Pro responsive browser viewport</x:v>
      </x:c>
      <x:c r="I171" s="16" t="str">
        <x:v>local Expo web bundle backed by staging API</x:v>
      </x:c>
      <x:c r="J171" s="16" t="str">
        <x:v>/squads/sqd_9640510a-e7cb-7575-a2a7-649ac28b5ee2/invite</x:v>
      </x:c>
      <x:c r="K171" s="16" t="str">
        <x:v>Authenticated seeded role account and linked staging dataset</x:v>
      </x:c>
      <x:c r="L171" s="16" t="str">
        <x:v>1</x:v>
      </x:c>
      <x:c r="M171" s="16" t="str">
        <x:v>coach_squad_invite_screen</x:v>
      </x:c>
      <x:c r="N171" s="16" t="str">
        <x:v>Navigate directly and execute the flow runner assertions without submitting a product mutation</x:v>
      </x:c>
      <x:c r="O171" s="16" t="str">
        <x:v>Resolve the intended route without a failed request runtime exception shared error state nested button horizontal overflow or product-text finding</x:v>
      </x:c>
      <x:c r="P171" s="16" t="str">
        <x:v>1/1 mapped flows returned status ok and severity none at 390px</x:v>
      </x:c>
      <x:c r="Q171" s="16" t="str">
        <x:v>Browser-observed role-scoped route requests</x:v>
      </x:c>
      <x:c r="R171" s="16" t="str">
        <x:v>No failed request detected; exact endpoint-by-endpoint reconciliation remains a separate audit gap</x:v>
      </x:c>
      <x:c r="S171" s="16" t="str"/>
      <x:c r="T171" s="16" t="str"/>
      <x:c r="U171" s="16" t="str">
        <x:v>No database mutation executed by this route-load regression</x:v>
      </x:c>
      <x:c r="V171" s="16" t="str">
        <x:v>Not directly exercised in this route-load regression</x:v>
      </x:c>
      <x:c r="W171" s="16" t="str">
        <x:v>Not reconciled in this route-load regression</x:v>
      </x:c>
      <x:c r="X171" s="16" t="str"/>
      <x:c r="Y171" s="16" t="str">
        <x:v>Sentry API unavailable; runner detected no runtime exception or console error classified as high or medium</x:v>
      </x:c>
      <x:c r="Z171" s="16" t="str">
        <x:v>coach</x:v>
      </x:c>
      <x:c r="AA171" s="16" t="str">
        <x:v>coach mapped route flow passed</x:v>
      </x:c>
      <x:c r="AB171" s="16" t="str">
        <x:v>automated route pass; manual visual corpus tracked separately</x:v>
      </x:c>
      <x:c r="AC171" s="16" t="str">
        <x:v>configured actions passed where present; otherwise route-load only</x:v>
      </x:c>
      <x:c r="AD171" s="16" t="str">
        <x:v>no automated high or medium finding</x:v>
      </x:c>
      <x:c r="AE171" s="16" t="str">
        <x:v>0 product-text findings</x:v>
      </x:c>
      <x:c r="AF171" s="16" t="str">
        <x:v>0 product-text findings</x:v>
      </x:c>
      <x:c r="AG171" s="16" t="str">
        <x:v>Shared React Native surface passed responsive runtime; native interaction remains blocked by host DevToolsSecurity</x:v>
      </x:c>
      <x:c r="AH171" s="16" t="str">
        <x:v>football product route</x:v>
      </x:c>
      <x:c r="AI171" s="16" t="str">
        <x:v>390px viewport with 0 horizontal overflow</x:v>
      </x:c>
      <x:c r="AJ171" s="16" t="str">
        <x:v>0 nested buttons; native semantic tree and VoiceOver remain unverified</x:v>
      </x:c>
      <x:c r="AK171" s="16" t="str">
        <x:v>passed</x:v>
      </x:c>
      <x:c r="AL171" s="16" t="str"/>
      <x:c r="AM171" s="16" t="str">
        <x:v>reviews/ios-native-audit/runtime/2026-07-31/report.merged.json</x:v>
      </x:c>
      <x:c r="AN171" s="16" t="str"/>
      <x:c r="AO171" s="16" t="str">
        <x:v>chore(audit): reconcile responsive route evidence</x:v>
      </x:c>
      <x:c r="AP171" s="16" t="str">
        <x:v>1/1 fresh mapped flows passed on 2026-07-31</x:v>
      </x:c>
      <x:c r="AQ171" s="16" t="str">
        <x:v>Non-destructive responsive route evidence only; exact API request IDs database RLS audit-event and native checks remain explicit separate gaps</x:v>
      </x:c>
    </x:row>
    <x:row r="172" ht="48" customHeight="1">
      <x:c r="A172" s="18" t="str">
        <x:v>ROUTE-137</x:v>
      </x:c>
      <x:c r="B172" s="16" t="str">
        <x:v>VERIFICATION-DBS</x:v>
      </x:c>
      <x:c r="C172" s="16" t="str">
        <x:v>Coach DBS certificate verification</x:v>
      </x:c>
      <x:c r="D172" s="16" t="str">
        <x:v>coach authorised; parent, athlete, club_admin denied</x:v>
      </x:c>
      <x:c r="E172" s="16" t="str">
        <x:v>/verification/background</x:v>
      </x:c>
      <x:c r="F172" s="16" t="str">
        <x:v>app/verification/background.tsx</x:v>
      </x:c>
      <x:c r="G172" s="16" t="str">
        <x:v>coach content; direct-entry denial</x:v>
      </x:c>
      <x:c r="H172" s="16" t="str">
        <x:v>iPhone 13 responsive emulation</x:v>
      </x:c>
      <x:c r="I172" s="16" t="str">
        <x:v>staging</x:v>
      </x:c>
      <x:c r="J172" s="16" t="str">
        <x:v>Direct /verification/background</x:v>
      </x:c>
      <x:c r="K172" s="16" t="str">
        <x:v>Four staging roles authenticated; no file selected and no mutation submitted</x:v>
      </x:c>
      <x:c r="L172" s="16" t="str">
        <x:v>1</x:v>
      </x:c>
      <x:c r="M172" s="16" t="str">
        <x:v>coach happy path; non-coach default deny</x:v>
      </x:c>
      <x:c r="N172" s="16" t="str">
        <x:v>Open route, exercise safe controls, then attempt direct entry as three unauthorised roles</x:v>
      </x:c>
      <x:c r="O172" s="16" t="str">
        <x:v>Coach sees working verification controls; other roles leave /verification before data access</x:v>
      </x:c>
      <x:c r="P172" s="16" t="str">
        <x:v>Coach saw verified DBS status; unauthorised roles redirected before verification read</x:v>
      </x:c>
      <x:c r="Q172" s="16" t="str">
        <x:v>GET /v1/coaches/:coachId/verification-status; document POST path covered without runtime mutation</x:v>
      </x:c>
      <x:c r="R172" s="16" t="str">
        <x:v>Five coach HTTP 200 reads; zero unauthorised verification requests; zero document mutations</x:v>
      </x:c>
      <x:c r="S172" s="16" t="str">
        <x:v>req_21f43d89-0614-411e-8b10-d64939e606b6</x:v>
      </x:c>
      <x:c r="T172" s="16" t="str">
        <x:v>CoachVerification | VerificationDocument | MediaObject | MalwareScanResult | AuditEvent</x:v>
      </x:c>
      <x:c r="U172" s="16" t="str">
        <x:v>Read-only replay persisted five matching AuditEvent rows and no verification-document mutation</x:v>
      </x:c>
      <x:c r="V172" s="16" t="str">
        <x:v>All five tables have RLS enabled; zero policies and zero anon/authenticated/PUBLIC table grants (default deny)</x:v>
      </x:c>
      <x:c r="W172" s="16" t="str">
        <x:v>coach_verification_status.read SUCCESS; sensitiveRead=true; selfRead=true; no non-coach event in window</x:v>
      </x:c>
      <x:c r="X172" s="16" t="str">
        <x:v>Read-only Sentry query blocked by credential permission</x:v>
      </x:c>
      <x:c r="Y172" s="16" t="str">
        <x:v>blocked: HTTPS verified; Sentry API returned HTTP 403 for issue-read request</x:v>
      </x:c>
      <x:c r="Z172" s="16" t="str">
        <x:v>coach | parent | athlete | club_admin</x:v>
      </x:c>
      <x:c r="AA172" s="16" t="str">
        <x:v>coach stayed on exact route; parent -&gt; /; athlete -&gt; /development/my-progress; club_admin -&gt; /club/my-clubs</x:v>
      </x:c>
      <x:c r="AB172" s="16" t="str">
        <x:v>passed after fix</x:v>
      </x:c>
      <x:c r="AC172" s="16" t="str">
        <x:v>passed after fix</x:v>
      </x:c>
      <x:c r="AD172" s="16" t="str">
        <x:v>removed</x:v>
      </x:c>
      <x:c r="AE172" s="16" t="str">
        <x:v>removed</x:v>
      </x:c>
      <x:c r="AF172" s="16" t="str">
        <x:v>passed after fix</x:v>
      </x:c>
      <x:c r="AG172" s="16" t="str">
        <x:v>responsive shared-RN pass; native semantic interaction blocked by host DevToolsSecurity</x:v>
      </x:c>
      <x:c r="AH172" s="16" t="str">
        <x:v>passed</x:v>
      </x:c>
      <x:c r="AI172" s="16" t="str">
        <x:v>passed after visual review</x:v>
      </x:c>
      <x:c r="AJ172" s="16" t="str">
        <x:v>named controls and radio semantics pass; deterministic native semantic retest blocked</x:v>
      </x:c>
      <x:c r="AK172" s="16" t="str">
        <x:v>fixed</x:v>
      </x:c>
      <x:c r="AL172" s="16" t="str">
        <x:v>medium</x:v>
      </x:c>
      <x:c r="AM172" s="16" t="str">
        <x:v>reviews/ios-native-audit/screenshots/063-verification-dbs-after.png | reviews/ios-native-audit/runtime/2026-07-31/report.verification.json</x:v>
      </x:c>
      <x:c r="AN172" s="16" t="str">
        <x:v>Unauthorised roles rendered coach verification and called status API; authorised screens contained marketing, fake process copy, dead controls, and inconsistent states</x:v>
      </x:c>
      <x:c r="AO172" s="16" t="str">
        <x:v>fix(verification): simplify coach evidence flows</x:v>
      </x:c>
      <x:c r="AP172" s="16" t="str">
        <x:v>20/20 cross-role and 5/5 final coach flows passed; TypeScript, lint, and 10 focused tests passed; native blocked</x:v>
      </x:c>
      <x:c r="AQ172" s="16" t="str">
        <x:v>Responsive evidence is not labelled native. Sentry requires a credential with project issue-read permission.</x:v>
      </x:c>
    </x:row>
    <x:row r="173" ht="48" customHeight="1">
      <x:c r="A173" s="18" t="str">
        <x:v>ROUTE-138</x:v>
      </x:c>
      <x:c r="B173" s="16" t="str">
        <x:v>VERIFICATION-CREDENTIALS</x:v>
      </x:c>
      <x:c r="C173" s="16" t="str">
        <x:v>Coach qualification verification</x:v>
      </x:c>
      <x:c r="D173" s="16" t="str">
        <x:v>coach authorised; parent, athlete, club_admin denied</x:v>
      </x:c>
      <x:c r="E173" s="16" t="str">
        <x:v>/verification/credentials</x:v>
      </x:c>
      <x:c r="F173" s="16" t="str">
        <x:v>app/verification/credentials.tsx</x:v>
      </x:c>
      <x:c r="G173" s="16" t="str">
        <x:v>coach content; direct-entry denial</x:v>
      </x:c>
      <x:c r="H173" s="16" t="str">
        <x:v>iPhone 13 responsive emulation</x:v>
      </x:c>
      <x:c r="I173" s="16" t="str">
        <x:v>staging</x:v>
      </x:c>
      <x:c r="J173" s="16" t="str">
        <x:v>Direct /verification/credentials</x:v>
      </x:c>
      <x:c r="K173" s="16" t="str">
        <x:v>Four staging roles authenticated; no file selected and no mutation submitted</x:v>
      </x:c>
      <x:c r="L173" s="16" t="str">
        <x:v>1</x:v>
      </x:c>
      <x:c r="M173" s="16" t="str">
        <x:v>coach happy path; non-coach default deny</x:v>
      </x:c>
      <x:c r="N173" s="16" t="str">
        <x:v>Open route, exercise safe controls, then attempt direct entry as three unauthorised roles</x:v>
      </x:c>
      <x:c r="O173" s="16" t="str">
        <x:v>Coach sees working verification controls; other roles leave /verification before data access</x:v>
      </x:c>
      <x:c r="P173" s="16" t="str">
        <x:v>Coach opened Add credential and selected Other; unauthorised roles redirected before read</x:v>
      </x:c>
      <x:c r="Q173" s="16" t="str">
        <x:v>GET /v1/coaches/:coachId/verification-status; document POST path covered without runtime mutation</x:v>
      </x:c>
      <x:c r="R173" s="16" t="str">
        <x:v>Five coach HTTP 200 reads; zero unauthorised verification requests; zero document mutations</x:v>
      </x:c>
      <x:c r="S173" s="16" t="str">
        <x:v>req_6809c829-76b9-4be3-8464-3bbec3f96a75</x:v>
      </x:c>
      <x:c r="T173" s="16" t="str">
        <x:v>CoachVerification | VerificationDocument | MediaObject | MalwareScanResult | AuditEvent</x:v>
      </x:c>
      <x:c r="U173" s="16" t="str">
        <x:v>Read-only replay persisted five matching AuditEvent rows and no verification-document mutation</x:v>
      </x:c>
      <x:c r="V173" s="16" t="str">
        <x:v>All five tables have RLS enabled; zero policies and zero anon/authenticated/PUBLIC table grants (default deny)</x:v>
      </x:c>
      <x:c r="W173" s="16" t="str">
        <x:v>coach_verification_status.read SUCCESS; sensitiveRead=true; selfRead=true; no non-coach event in window</x:v>
      </x:c>
      <x:c r="X173" s="16" t="str">
        <x:v>Read-only Sentry query blocked by credential permission</x:v>
      </x:c>
      <x:c r="Y173" s="16" t="str">
        <x:v>blocked: HTTPS verified; Sentry API returned HTTP 403 for issue-read request</x:v>
      </x:c>
      <x:c r="Z173" s="16" t="str">
        <x:v>coach | parent | athlete | club_admin</x:v>
      </x:c>
      <x:c r="AA173" s="16" t="str">
        <x:v>coach stayed on exact route; parent -&gt; /; athlete -&gt; /development/my-progress; club_admin -&gt; /club/my-clubs</x:v>
      </x:c>
      <x:c r="AB173" s="16" t="str">
        <x:v>passed after fix</x:v>
      </x:c>
      <x:c r="AC173" s="16" t="str">
        <x:v>passed after fix</x:v>
      </x:c>
      <x:c r="AD173" s="16" t="str">
        <x:v>removed</x:v>
      </x:c>
      <x:c r="AE173" s="16" t="str">
        <x:v>removed</x:v>
      </x:c>
      <x:c r="AF173" s="16" t="str">
        <x:v>passed after fix</x:v>
      </x:c>
      <x:c r="AG173" s="16" t="str">
        <x:v>responsive shared-RN pass; native semantic interaction blocked by host DevToolsSecurity</x:v>
      </x:c>
      <x:c r="AH173" s="16" t="str">
        <x:v>passed</x:v>
      </x:c>
      <x:c r="AI173" s="16" t="str">
        <x:v>passed after visual review</x:v>
      </x:c>
      <x:c r="AJ173" s="16" t="str">
        <x:v>named controls and radio semantics pass; deterministic native semantic retest blocked</x:v>
      </x:c>
      <x:c r="AK173" s="16" t="str">
        <x:v>fixed</x:v>
      </x:c>
      <x:c r="AL173" s="16" t="str">
        <x:v>medium</x:v>
      </x:c>
      <x:c r="AM173" s="16" t="str">
        <x:v>reviews/ios-native-audit/screenshots/065-verification-credentials-after.png | reviews/ios-native-audit/runtime/2026-07-31/report.verification.json</x:v>
      </x:c>
      <x:c r="AN173" s="16" t="str">
        <x:v>Unauthorised roles rendered coach verification and called status API; authorised screens contained marketing, fake process copy, dead controls, and inconsistent states</x:v>
      </x:c>
      <x:c r="AO173" s="16" t="str">
        <x:v>fix(verification): simplify coach evidence flows</x:v>
      </x:c>
      <x:c r="AP173" s="16" t="str">
        <x:v>20/20 cross-role and 5/5 final coach flows passed; TypeScript, lint, and 10 focused tests passed; native blocked</x:v>
      </x:c>
      <x:c r="AQ173" s="16" t="str">
        <x:v>Responsive evidence is not labelled native. Sentry requires a credential with project issue-read permission.</x:v>
      </x:c>
    </x:row>
    <x:row r="174" ht="48" customHeight="1">
      <x:c r="A174" s="18" t="str">
        <x:v>ROUTE-139</x:v>
      </x:c>
      <x:c r="B174" s="16" t="str">
        <x:v>VERIFICATION-ID</x:v>
      </x:c>
      <x:c r="C174" s="16" t="str">
        <x:v>Coach photo ID verification</x:v>
      </x:c>
      <x:c r="D174" s="16" t="str">
        <x:v>coach authorised; parent, athlete, club_admin denied</x:v>
      </x:c>
      <x:c r="E174" s="16" t="str">
        <x:v>/verification/id</x:v>
      </x:c>
      <x:c r="F174" s="16" t="str">
        <x:v>app/verification/id.tsx</x:v>
      </x:c>
      <x:c r="G174" s="16" t="str">
        <x:v>coach content; direct-entry denial</x:v>
      </x:c>
      <x:c r="H174" s="16" t="str">
        <x:v>iPhone 13 responsive emulation</x:v>
      </x:c>
      <x:c r="I174" s="16" t="str">
        <x:v>staging</x:v>
      </x:c>
      <x:c r="J174" s="16" t="str">
        <x:v>Direct /verification/id</x:v>
      </x:c>
      <x:c r="K174" s="16" t="str">
        <x:v>Four staging roles authenticated; no file selected and no mutation submitted</x:v>
      </x:c>
      <x:c r="L174" s="16" t="str">
        <x:v>1</x:v>
      </x:c>
      <x:c r="M174" s="16" t="str">
        <x:v>coach happy path; non-coach default deny</x:v>
      </x:c>
      <x:c r="N174" s="16" t="str">
        <x:v>Open route, exercise safe controls, then attempt direct entry as three unauthorised roles</x:v>
      </x:c>
      <x:c r="O174" s="16" t="str">
        <x:v>Coach sees working verification controls; other roles leave /verification before data access</x:v>
      </x:c>
      <x:c r="P174" s="16" t="str">
        <x:v>Coach selected Passport and saw Choose document; unauthorised roles redirected before read</x:v>
      </x:c>
      <x:c r="Q174" s="16" t="str">
        <x:v>GET /v1/coaches/:coachId/verification-status; document POST path covered without runtime mutation</x:v>
      </x:c>
      <x:c r="R174" s="16" t="str">
        <x:v>Five coach HTTP 200 reads; zero unauthorised verification requests; zero document mutations</x:v>
      </x:c>
      <x:c r="S174" s="16" t="str">
        <x:v>req_84ea9791-88b2-426c-9dc2-0e4b27fb120b</x:v>
      </x:c>
      <x:c r="T174" s="16" t="str">
        <x:v>CoachVerification | VerificationDocument | MediaObject | MalwareScanResult | AuditEvent</x:v>
      </x:c>
      <x:c r="U174" s="16" t="str">
        <x:v>Read-only replay persisted five matching AuditEvent rows and no verification-document mutation</x:v>
      </x:c>
      <x:c r="V174" s="16" t="str">
        <x:v>All five tables have RLS enabled; zero policies and zero anon/authenticated/PUBLIC table grants (default deny)</x:v>
      </x:c>
      <x:c r="W174" s="16" t="str">
        <x:v>coach_verification_status.read SUCCESS; sensitiveRead=true; selfRead=true; no non-coach event in window</x:v>
      </x:c>
      <x:c r="X174" s="16" t="str">
        <x:v>Read-only Sentry query blocked by credential permission</x:v>
      </x:c>
      <x:c r="Y174" s="16" t="str">
        <x:v>blocked: HTTPS verified; Sentry API returned HTTP 403 for issue-read request</x:v>
      </x:c>
      <x:c r="Z174" s="16" t="str">
        <x:v>coach | parent | athlete | club_admin</x:v>
      </x:c>
      <x:c r="AA174" s="16" t="str">
        <x:v>coach stayed on exact route; parent -&gt; /; athlete -&gt; /development/my-progress; club_admin -&gt; /club/my-clubs</x:v>
      </x:c>
      <x:c r="AB174" s="16" t="str">
        <x:v>passed after fix</x:v>
      </x:c>
      <x:c r="AC174" s="16" t="str">
        <x:v>passed after fix</x:v>
      </x:c>
      <x:c r="AD174" s="16" t="str">
        <x:v>removed</x:v>
      </x:c>
      <x:c r="AE174" s="16" t="str">
        <x:v>removed</x:v>
      </x:c>
      <x:c r="AF174" s="16" t="str">
        <x:v>passed after fix</x:v>
      </x:c>
      <x:c r="AG174" s="16" t="str">
        <x:v>responsive shared-RN pass; native semantic interaction blocked by host DevToolsSecurity</x:v>
      </x:c>
      <x:c r="AH174" s="16" t="str">
        <x:v>passed</x:v>
      </x:c>
      <x:c r="AI174" s="16" t="str">
        <x:v>passed after visual review</x:v>
      </x:c>
      <x:c r="AJ174" s="16" t="str">
        <x:v>named controls and radio semantics pass; deterministic native semantic retest blocked</x:v>
      </x:c>
      <x:c r="AK174" s="16" t="str">
        <x:v>fixed</x:v>
      </x:c>
      <x:c r="AL174" s="16" t="str">
        <x:v>medium</x:v>
      </x:c>
      <x:c r="AM174" s="16" t="str">
        <x:v>reviews/ios-native-audit/screenshots/062-verification-id-after.png | reviews/ios-native-audit/runtime/2026-07-31/report.verification.json</x:v>
      </x:c>
      <x:c r="AN174" s="16" t="str">
        <x:v>Unauthorised roles rendered coach verification and called status API; authorised screens contained marketing, fake process copy, dead controls, and inconsistent states</x:v>
      </x:c>
      <x:c r="AO174" s="16" t="str">
        <x:v>fix(verification): simplify coach evidence flows</x:v>
      </x:c>
      <x:c r="AP174" s="16" t="str">
        <x:v>20/20 cross-role and 5/5 final coach flows passed; TypeScript, lint, and 10 focused tests passed; native blocked</x:v>
      </x:c>
      <x:c r="AQ174" s="16" t="str">
        <x:v>Responsive evidence is not labelled native. Sentry requires a credential with project issue-read permission.</x:v>
      </x:c>
    </x:row>
    <x:row r="175" ht="48" customHeight="1">
      <x:c r="A175" s="18" t="str">
        <x:v>ROUTE-140</x:v>
      </x:c>
      <x:c r="B175" s="16" t="str">
        <x:v>VERIFICATION-HUB</x:v>
      </x:c>
      <x:c r="C175" s="16" t="str">
        <x:v>Coach verification hub</x:v>
      </x:c>
      <x:c r="D175" s="16" t="str">
        <x:v>coach authorised; parent, athlete, club_admin denied</x:v>
      </x:c>
      <x:c r="E175" s="16" t="str">
        <x:v>/verification</x:v>
      </x:c>
      <x:c r="F175" s="16" t="str">
        <x:v>app/verification/index.tsx</x:v>
      </x:c>
      <x:c r="G175" s="16" t="str">
        <x:v>coach content; direct-entry denial</x:v>
      </x:c>
      <x:c r="H175" s="16" t="str">
        <x:v>iPhone 13 responsive emulation</x:v>
      </x:c>
      <x:c r="I175" s="16" t="str">
        <x:v>staging</x:v>
      </x:c>
      <x:c r="J175" s="16" t="str">
        <x:v>Direct /verification</x:v>
      </x:c>
      <x:c r="K175" s="16" t="str">
        <x:v>Four staging roles authenticated; no file selected and no mutation submitted</x:v>
      </x:c>
      <x:c r="L175" s="16" t="str">
        <x:v>1</x:v>
      </x:c>
      <x:c r="M175" s="16" t="str">
        <x:v>coach happy path; non-coach default deny</x:v>
      </x:c>
      <x:c r="N175" s="16" t="str">
        <x:v>Open route, exercise safe controls, then attempt direct entry as three unauthorised roles</x:v>
      </x:c>
      <x:c r="O175" s="16" t="str">
        <x:v>Coach sees working verification controls; other roles leave /verification before data access</x:v>
      </x:c>
      <x:c r="P175" s="16" t="str">
        <x:v>Coach saw Profile status and Documents; unauthorised roles redirected before read</x:v>
      </x:c>
      <x:c r="Q175" s="16" t="str">
        <x:v>GET /v1/coaches/:coachId/verification-status; document POST path covered without runtime mutation</x:v>
      </x:c>
      <x:c r="R175" s="16" t="str">
        <x:v>Five coach HTTP 200 reads; zero unauthorised verification requests; zero document mutations</x:v>
      </x:c>
      <x:c r="S175" s="16" t="str">
        <x:v>req_a62fc584-29e3-4e6d-928e-def276f5407a</x:v>
      </x:c>
      <x:c r="T175" s="16" t="str">
        <x:v>CoachVerification | VerificationDocument | MediaObject | MalwareScanResult | AuditEvent</x:v>
      </x:c>
      <x:c r="U175" s="16" t="str">
        <x:v>Read-only replay persisted five matching AuditEvent rows and no verification-document mutation</x:v>
      </x:c>
      <x:c r="V175" s="16" t="str">
        <x:v>All five tables have RLS enabled; zero policies and zero anon/authenticated/PUBLIC table grants (default deny)</x:v>
      </x:c>
      <x:c r="W175" s="16" t="str">
        <x:v>coach_verification_status.read SUCCESS; sensitiveRead=true; selfRead=true; no non-coach event in window</x:v>
      </x:c>
      <x:c r="X175" s="16" t="str">
        <x:v>Read-only Sentry query blocked by credential permission</x:v>
      </x:c>
      <x:c r="Y175" s="16" t="str">
        <x:v>blocked: HTTPS verified; Sentry API returned HTTP 403 for issue-read request</x:v>
      </x:c>
      <x:c r="Z175" s="16" t="str">
        <x:v>coach | parent | athlete | club_admin</x:v>
      </x:c>
      <x:c r="AA175" s="16" t="str">
        <x:v>coach stayed on exact route; parent -&gt; /; athlete -&gt; /development/my-progress; club_admin -&gt; /club/my-clubs</x:v>
      </x:c>
      <x:c r="AB175" s="16" t="str">
        <x:v>passed after fix</x:v>
      </x:c>
      <x:c r="AC175" s="16" t="str">
        <x:v>passed after fix</x:v>
      </x:c>
      <x:c r="AD175" s="16" t="str">
        <x:v>removed</x:v>
      </x:c>
      <x:c r="AE175" s="16" t="str">
        <x:v>removed</x:v>
      </x:c>
      <x:c r="AF175" s="16" t="str">
        <x:v>passed after fix</x:v>
      </x:c>
      <x:c r="AG175" s="16" t="str">
        <x:v>responsive shared-RN pass; native semantic interaction blocked by host DevToolsSecurity</x:v>
      </x:c>
      <x:c r="AH175" s="16" t="str">
        <x:v>passed</x:v>
      </x:c>
      <x:c r="AI175" s="16" t="str">
        <x:v>passed after visual review</x:v>
      </x:c>
      <x:c r="AJ175" s="16" t="str">
        <x:v>named controls and radio semantics pass; deterministic native semantic retest blocked</x:v>
      </x:c>
      <x:c r="AK175" s="16" t="str">
        <x:v>fixed</x:v>
      </x:c>
      <x:c r="AL175" s="16" t="str">
        <x:v>medium</x:v>
      </x:c>
      <x:c r="AM175" s="16" t="str">
        <x:v>reviews/ios-native-audit/screenshots/060-verification-role-gate-before.png | reviews/ios-native-audit/screenshots/061-verification-hub-after.png | reviews/ios-native-audit/screenshots/066-verification-athlete-denied-after.png | reviews/ios-native-audit/runtime/2026-07-31/report.verification.json</x:v>
      </x:c>
      <x:c r="AN175" s="16" t="str">
        <x:v>Unauthorised roles rendered coach verification and called status API; authorised screens contained marketing, fake process copy, dead controls, and inconsistent states</x:v>
      </x:c>
      <x:c r="AO175" s="16" t="str">
        <x:v>fix(verification): simplify coach evidence flows</x:v>
      </x:c>
      <x:c r="AP175" s="16" t="str">
        <x:v>20/20 cross-role and 5/5 final coach flows passed; TypeScript, lint, and 10 focused tests passed; native blocked</x:v>
      </x:c>
      <x:c r="AQ175" s="16" t="str">
        <x:v>Responsive evidence is not labelled native. Sentry requires a credential with project issue-read permission.</x:v>
      </x:c>
    </x:row>
    <x:row r="176" ht="48" customHeight="1">
      <x:c r="A176" s="18" t="str">
        <x:v>ROUTE-141</x:v>
      </x:c>
      <x:c r="B176" s="16" t="str">
        <x:v>VERIFICATION-INSURANCE</x:v>
      </x:c>
      <x:c r="C176" s="16" t="str">
        <x:v>Coach insurance verification</x:v>
      </x:c>
      <x:c r="D176" s="16" t="str">
        <x:v>coach authorised; parent, athlete, club_admin denied</x:v>
      </x:c>
      <x:c r="E176" s="16" t="str">
        <x:v>/verification/insurance</x:v>
      </x:c>
      <x:c r="F176" s="16" t="str">
        <x:v>app/verification/insurance.tsx</x:v>
      </x:c>
      <x:c r="G176" s="16" t="str">
        <x:v>coach content; direct-entry denial</x:v>
      </x:c>
      <x:c r="H176" s="16" t="str">
        <x:v>iPhone 13 responsive emulation</x:v>
      </x:c>
      <x:c r="I176" s="16" t="str">
        <x:v>staging</x:v>
      </x:c>
      <x:c r="J176" s="16" t="str">
        <x:v>Direct /verification/insurance</x:v>
      </x:c>
      <x:c r="K176" s="16" t="str">
        <x:v>Four staging roles authenticated; no file selected and no mutation submitted</x:v>
      </x:c>
      <x:c r="L176" s="16" t="str">
        <x:v>1</x:v>
      </x:c>
      <x:c r="M176" s="16" t="str">
        <x:v>coach happy path; non-coach default deny</x:v>
      </x:c>
      <x:c r="N176" s="16" t="str">
        <x:v>Open route, exercise safe controls, then attempt direct entry as three unauthorised roles</x:v>
      </x:c>
      <x:c r="O176" s="16" t="str">
        <x:v>Coach sees working verification controls; other roles leave /verification before data access</x:v>
      </x:c>
      <x:c r="P176" s="16" t="str">
        <x:v>Coach saw document requirements and disabled submit; unauthorised roles redirected before read</x:v>
      </x:c>
      <x:c r="Q176" s="16" t="str">
        <x:v>GET /v1/coaches/:coachId/verification-status; document POST path covered without runtime mutation</x:v>
      </x:c>
      <x:c r="R176" s="16" t="str">
        <x:v>Five coach HTTP 200 reads; zero unauthorised verification requests; zero document mutations</x:v>
      </x:c>
      <x:c r="S176" s="16" t="str">
        <x:v>req_02bc84cb-8fdd-4128-a18b-b69f4e636498</x:v>
      </x:c>
      <x:c r="T176" s="16" t="str">
        <x:v>CoachVerification | VerificationDocument | MediaObject | MalwareScanResult | AuditEvent</x:v>
      </x:c>
      <x:c r="U176" s="16" t="str">
        <x:v>Read-only replay persisted five matching AuditEvent rows and no verification-document mutation</x:v>
      </x:c>
      <x:c r="V176" s="16" t="str">
        <x:v>All five tables have RLS enabled; zero policies and zero anon/authenticated/PUBLIC table grants (default deny)</x:v>
      </x:c>
      <x:c r="W176" s="16" t="str">
        <x:v>coach_verification_status.read SUCCESS; sensitiveRead=true; selfRead=true; no non-coach event in window</x:v>
      </x:c>
      <x:c r="X176" s="16" t="str">
        <x:v>Read-only Sentry query blocked by credential permission</x:v>
      </x:c>
      <x:c r="Y176" s="16" t="str">
        <x:v>blocked: HTTPS verified; Sentry API returned HTTP 403 for issue-read request</x:v>
      </x:c>
      <x:c r="Z176" s="16" t="str">
        <x:v>coach | parent | athlete | club_admin</x:v>
      </x:c>
      <x:c r="AA176" s="16" t="str">
        <x:v>coach stayed on exact route; parent -&gt; /; athlete -&gt; /development/my-progress; club_admin -&gt; /club/my-clubs</x:v>
      </x:c>
      <x:c r="AB176" s="16" t="str">
        <x:v>passed after fix</x:v>
      </x:c>
      <x:c r="AC176" s="16" t="str">
        <x:v>passed after fix</x:v>
      </x:c>
      <x:c r="AD176" s="16" t="str">
        <x:v>removed</x:v>
      </x:c>
      <x:c r="AE176" s="16" t="str">
        <x:v>removed</x:v>
      </x:c>
      <x:c r="AF176" s="16" t="str">
        <x:v>passed after fix</x:v>
      </x:c>
      <x:c r="AG176" s="16" t="str">
        <x:v>responsive shared-RN pass; native semantic interaction blocked by host DevToolsSecurity</x:v>
      </x:c>
      <x:c r="AH176" s="16" t="str">
        <x:v>passed</x:v>
      </x:c>
      <x:c r="AI176" s="16" t="str">
        <x:v>passed after visual review</x:v>
      </x:c>
      <x:c r="AJ176" s="16" t="str">
        <x:v>named controls and radio semantics pass; deterministic native semantic retest blocked</x:v>
      </x:c>
      <x:c r="AK176" s="16" t="str">
        <x:v>fixed</x:v>
      </x:c>
      <x:c r="AL176" s="16" t="str">
        <x:v>medium</x:v>
      </x:c>
      <x:c r="AM176" s="16" t="str">
        <x:v>reviews/ios-native-audit/screenshots/064-verification-insurance-after.png | reviews/ios-native-audit/runtime/2026-07-31/report.verification.json</x:v>
      </x:c>
      <x:c r="AN176" s="16" t="str">
        <x:v>Unauthorised roles rendered coach verification and called status API; authorised screens contained marketing, fake process copy, dead controls, and inconsistent states</x:v>
      </x:c>
      <x:c r="AO176" s="16" t="str">
        <x:v>fix(verification): simplify coach evidence flows</x:v>
      </x:c>
      <x:c r="AP176" s="16" t="str">
        <x:v>20/20 cross-role and 5/5 final coach flows passed; TypeScript, lint, and 10 focused tests passed; native blocked</x:v>
      </x:c>
      <x:c r="AQ176" s="16" t="str">
        <x:v>Responsive evidence is not labelled native. Sentry requires a credential with project issue-read permission.</x:v>
      </x:c>
    </x:row>
    <x:row r="177" ht="48" customHeight="1">
      <x:c r="A177" s="18" t="str">
        <x:v>ROUTE-142</x:v>
      </x:c>
      <x:c r="B177" s="16" t="str">
        <x:v>ROUTE-INVENTORY</x:v>
      </x:c>
      <x:c r="C177" s="16" t="str">
        <x:v>Reachable route coverage</x:v>
      </x:c>
      <x:c r="D177" s="16" t="str">
        <x:v>to classify</x:v>
      </x:c>
      <x:c r="E177" s="16" t="str">
        <x:v>app/videos/[id].tsx</x:v>
      </x:c>
      <x:c r="F177" s="16" t="str">
        <x:v>app/videos/[id].tsx</x:v>
      </x:c>
      <x:c r="G177" s="16" t="str">
        <x:v>inventory</x:v>
      </x:c>
      <x:c r="H177" s="16" t="str"/>
      <x:c r="I177" s="16" t="str">
        <x:v>staging</x:v>
      </x:c>
      <x:c r="J177" s="16" t="str"/>
      <x:c r="K177" s="16" t="str"/>
      <x:c r="L177" s="16" t="str"/>
      <x:c r="M177" s="16" t="str"/>
      <x:c r="N177" s="16" t="str"/>
      <x:c r="O177" s="16" t="str"/>
      <x:c r="P177" s="16" t="str"/>
      <x:c r="Q177" s="16" t="str"/>
      <x:c r="R177" s="16" t="str"/>
      <x:c r="S177" s="16" t="str"/>
      <x:c r="T177" s="16" t="str"/>
      <x:c r="U177" s="16" t="str"/>
      <x:c r="V177" s="16" t="str"/>
      <x:c r="W177" s="16" t="str"/>
      <x:c r="X177" s="16" t="str"/>
      <x:c r="Y177" s="16" t="str"/>
      <x:c r="Z177" s="16" t="str"/>
      <x:c r="AA177" s="16" t="str"/>
      <x:c r="AB177" s="16" t="str"/>
      <x:c r="AC177" s="16" t="str"/>
      <x:c r="AD177" s="16" t="str"/>
      <x:c r="AE177" s="16" t="str"/>
      <x:c r="AF177" s="16" t="str"/>
      <x:c r="AG177" s="16" t="str"/>
      <x:c r="AH177" s="16" t="str"/>
      <x:c r="AI177" s="16" t="str"/>
      <x:c r="AJ177" s="16" t="str"/>
      <x:c r="AK177" s="16" t="str">
        <x:v>pending</x:v>
      </x:c>
      <x:c r="AL177" s="16" t="str"/>
      <x:c r="AM177" s="16" t="str"/>
      <x:c r="AN177" s="16" t="str"/>
      <x:c r="AO177" s="16" t="str"/>
      <x:c r="AP177" s="16" t="str">
        <x:v>pending</x:v>
      </x:c>
      <x:c r="AQ177" s="16" t="str">
        <x:v>Discovered from executable Expo Router tree; runtime coverage pending</x:v>
      </x:c>
    </x:row>
    <x:row r="178" ht="48" customHeight="1">
      <x:c r="A178" s="18" t="str">
        <x:v>ROUTE-143</x:v>
      </x:c>
      <x:c r="B178" s="16" t="str">
        <x:v>ROUTE-INVENTORY</x:v>
      </x:c>
      <x:c r="C178" s="16" t="str">
        <x:v>Reachable route coverage</x:v>
      </x:c>
      <x:c r="D178" s="16" t="str">
        <x:v>to classify</x:v>
      </x:c>
      <x:c r="E178" s="16" t="str">
        <x:v>app/videos/upload.tsx</x:v>
      </x:c>
      <x:c r="F178" s="16" t="str">
        <x:v>app/videos/upload.tsx</x:v>
      </x:c>
      <x:c r="G178" s="16" t="str">
        <x:v>inventory</x:v>
      </x:c>
      <x:c r="H178" s="16" t="str"/>
      <x:c r="I178" s="16" t="str">
        <x:v>staging</x:v>
      </x:c>
      <x:c r="J178" s="16" t="str"/>
      <x:c r="K178" s="16" t="str"/>
      <x:c r="L178" s="16" t="str"/>
      <x:c r="M178" s="16" t="str"/>
      <x:c r="N178" s="16" t="str"/>
      <x:c r="O178" s="16" t="str"/>
      <x:c r="P178" s="16" t="str"/>
      <x:c r="Q178" s="16" t="str"/>
      <x:c r="R178" s="16" t="str"/>
      <x:c r="S178" s="16" t="str"/>
      <x:c r="T178" s="16" t="str"/>
      <x:c r="U178" s="16" t="str"/>
      <x:c r="V178" s="16" t="str"/>
      <x:c r="W178" s="16" t="str"/>
      <x:c r="X178" s="16" t="str"/>
      <x:c r="Y178" s="16" t="str"/>
      <x:c r="Z178" s="16" t="str"/>
      <x:c r="AA178" s="16" t="str"/>
      <x:c r="AB178" s="16" t="str"/>
      <x:c r="AC178" s="16" t="str"/>
      <x:c r="AD178" s="16" t="str"/>
      <x:c r="AE178" s="16" t="str"/>
      <x:c r="AF178" s="16" t="str"/>
      <x:c r="AG178" s="16" t="str"/>
      <x:c r="AH178" s="16" t="str"/>
      <x:c r="AI178" s="16" t="str"/>
      <x:c r="AJ178" s="16" t="str"/>
      <x:c r="AK178" s="16" t="str">
        <x:v>pending</x:v>
      </x:c>
      <x:c r="AL178" s="16" t="str"/>
      <x:c r="AM178" s="16" t="str"/>
      <x:c r="AN178" s="16" t="str"/>
      <x:c r="AO178" s="16" t="str"/>
      <x:c r="AP178" s="16" t="str">
        <x:v>pending</x:v>
      </x:c>
      <x:c r="AQ178" s="16" t="str">
        <x:v>Discovered from executable Expo Router tree; runtime coverage pending</x:v>
      </x:c>
    </x:row>
    <x:row r="179" ht="48" customHeight="1">
      <x:c r="A179" s="18" t="str">
        <x:v>UI-017</x:v>
      </x:c>
      <x:c r="B179" s="16" t="str">
        <x:v>DEVELOPMENT-NEEDS-SIMPLIFICATION</x:v>
      </x:c>
      <x:c r="C179" s="16" t="str">
        <x:v>Athlete progress and needs presentation</x:v>
      </x:c>
      <x:c r="D179" s="16" t="str">
        <x:v>athlete parent and assigned coach</x:v>
      </x:c>
      <x:c r="E179" s="16" t="str">
        <x:v>/development/athlete/:athleteId and /development/athlete/:athleteId/special-needs</x:v>
      </x:c>
      <x:c r="F179" s="16" t="str">
        <x:v>Athlete Progress and Needs &amp; notes</x:v>
      </x:c>
      <x:c r="G179" s="16" t="str">
        <x:v>linked cross-role read</x:v>
      </x:c>
      <x:c r="H179" s="16" t="str">
        <x:v>iPhone 16 Pro and responsive browser viewport</x:v>
      </x:c>
      <x:c r="I179" s="16" t="str">
        <x:v>staging</x:v>
      </x:c>
      <x:c r="J179" s="16" t="str">
        <x:v>Direct development routes after role login</x:v>
      </x:c>
      <x:c r="K179" s="16" t="str">
        <x:v>Linked athlete with medical data and assigned coach</x:v>
      </x:c>
      <x:c r="L179" s="16" t="str">
        <x:v>1</x:v>
      </x:c>
      <x:c r="M179" s="16" t="str">
        <x:v>cross-role presentation and authorization</x:v>
      </x:c>
      <x:c r="N179" s="16" t="str">
        <x:v>Open progress then Needs &amp; notes as parent athlete and coach</x:v>
      </x:c>
      <x:c r="O179" s="16" t="str">
        <x:v>Show factual profile and medical data; instantiate coach tools only for authorized managers</x:v>
      </x:c>
      <x:c r="P179" s="16" t="str">
        <x:v>Invented trend and session-count badges were removed; all stored needs fields render; parent and athlete omit coach tools while assigned coach retains one Add action</x:v>
      </x:c>
      <x:c r="Q179" s="16" t="str">
        <x:v>/v1/athletes/:athleteId and /v1/athletes/:athleteId/coach-observations</x:v>
      </x:c>
      <x:c r="R179" s="16" t="str">
        <x:v>Parent and athlete sent zero observation requests; assigned coach GET returned HTTP 200</x:v>
      </x:c>
      <x:c r="S179" s="16" t="str">
        <x:v>req_48ae85ec-6130-4ab6-b08a-54c88dd18e1b</x:v>
      </x:c>
      <x:c r="T179" s="16" t="str">
        <x:v>Athlete GuardianChildLink CoachAthleteRosterEntry CoachObservation AuditEvent</x:v>
      </x:c>
      <x:c r="U179" s="16" t="str">
        <x:v>Staging athlete profile and authorized empty observation list read successfully; no destructive mutation</x:v>
      </x:c>
      <x:c r="V179" s="16" t="str">
        <x:v>Direct RLS preflight passed; API authorization remained the external boundary</x:v>
      </x:c>
      <x:c r="W179" s="16" t="str">
        <x:v>coach_observation.read SUCCESS actingRole=coach sensitiveRead=true count=0</x:v>
      </x:c>
      <x:c r="X179" s="16" t="str"/>
      <x:c r="Y179" s="16" t="str">
        <x:v>Sentry query unavailable in current task</x:v>
      </x:c>
      <x:c r="Z179" s="16" t="str">
        <x:v>athlete parent and assigned coach</x:v>
      </x:c>
      <x:c r="AA179" s="16" t="str">
        <x:v>Parent and athlete see complete read-only needs data without coach controls; assigned coach sees exactly one observation action</x:v>
      </x:c>
      <x:c r="AB179" s="16" t="str">
        <x:v>passed</x:v>
      </x:c>
      <x:c r="AC179" s="16" t="str">
        <x:v>passed</x:v>
      </x:c>
      <x:c r="AD179" s="16" t="str">
        <x:v>passed after fix</x:v>
      </x:c>
      <x:c r="AE179" s="16" t="str">
        <x:v>passed after fix</x:v>
      </x:c>
      <x:c r="AF179" s="16" t="str">
        <x:v>passed after fix</x:v>
      </x:c>
      <x:c r="AG179" s="16" t="str">
        <x:v>Shared React Native screen; responsive runtime passed; native role interaction remains blocked by host DevToolsSecurity</x:v>
      </x:c>
      <x:c r="AH179" s="16" t="str">
        <x:v>football development and coach support context retained</x:v>
      </x:c>
      <x:c r="AI179" s="16" t="str">
        <x:v>passed</x:v>
      </x:c>
      <x:c r="AJ179" s="16" t="str">
        <x:v>One labelled Add observation control for coach; no dead restricted control for parent or athlete</x:v>
      </x:c>
      <x:c r="AK179" s="16" t="str">
        <x:v>fixed</x:v>
      </x:c>
      <x:c r="AL179" s="16" t="str">
        <x:v>high</x:v>
      </x:c>
      <x:c r="AM179" s="16" t="str">
        <x:v>reviews/ios-native-audit/screenshots/042-parent-development-authorized-controls.png | reviews/ios-native-audit/screenshots/046-parent-needs-coach-error-before.png | reviews/ios-native-audit/screenshots/047-parent-needs-clean-after.png | reviews/ios-native-audit/screenshots/048-parent-progress-clean-after.png | reviews/ios-native-audit/screenshots/049-coach-needs-authorized-after.png | reviews/ios-native-audit/screenshots/050-athlete-needs-readonly-after.png</x:v>
      </x:c>
      <x:c r="AN179" s="16" t="str">
        <x:v>The progress hero invented trend and medal status; needs screens printed a raw avatar URL omitted stored medical fields contradicted their own counts and called a coach-only endpoint for parent and athlete</x:v>
      </x:c>
      <x:c r="AO179" s="16" t="str">
        <x:v>fix(development): simplify athlete needs details</x:v>
      </x:c>
      <x:c r="AP179" s="16" t="str">
        <x:v>Root typecheck and 6 focused tests passed; live parent athlete and coach responsive flows passed with role-specific network assertions</x:v>
      </x:c>
      <x:c r="AQ179" s="16" t="str">
        <x:v>Ponytail removed decorative metrics duplicate actions sensitive preview tags and authorization errors that non-coaches could never resolve</x:v>
      </x:c>
    </x:row>
    <x:row r="180" ht="48" customHeight="1">
      <x:c r="A180" s="18" t="str">
        <x:v>UI-018</x:v>
      </x:c>
      <x:c r="B180" s="16" t="str">
        <x:v>PRODUCT-WALKTHROUGH-REMOVAL</x:v>
      </x:c>
      <x:c r="C180" s="16" t="str">
        <x:v>Internal demo walkthrough removal</x:v>
      </x:c>
      <x:c r="D180" s="16" t="str">
        <x:v>athlete coach security admin and club owner</x:v>
      </x:c>
      <x:c r="E180" s="16" t="str">
        <x:v>/(tabs)/index and coach development and admin users and /club/:clubId/dashboard</x:v>
      </x:c>
      <x:c r="F180" s="16" t="str">
        <x:v>Home Development Users and Owner Dashboard</x:v>
      </x:c>
      <x:c r="G180" s="16" t="str">
        <x:v>first loaded product surface</x:v>
      </x:c>
      <x:c r="H180" s="16" t="str">
        <x:v>iPhone 16 Pro responsive browser viewport</x:v>
      </x:c>
      <x:c r="I180" s="16" t="str">
        <x:v>staging</x:v>
      </x:c>
      <x:c r="J180" s="16" t="str">
        <x:v>Sign in as each role and open its primary product surface</x:v>
      </x:c>
      <x:c r="K180" s="16" t="str">
        <x:v>Staging athlete coach security-admin and club-admin owner accounts</x:v>
      </x:c>
      <x:c r="L180" s="16" t="str">
        <x:v>1</x:v>
      </x:c>
      <x:c r="M180" s="16" t="str">
        <x:v>cross-role first surface</x:v>
      </x:c>
      <x:c r="N180" s="16" t="str">
        <x:v>Open each role landing surface and inspect the first actionable viewport</x:v>
      </x:c>
      <x:c r="O180" s="16" t="str">
        <x:v>Real data and actions appear first with no internal QA instructions or duplicate same-outcome actions</x:v>
      </x:c>
      <x:c r="P180" s="16" t="str">
        <x:v>All four roles render product content directly; the athlete home retains one Find Coach action and no generic journey subtitle</x:v>
      </x:c>
      <x:c r="Q180" s="16" t="str"/>
      <x:c r="R180" s="16" t="str">
        <x:v>Existing role-scoped reads completed with no console errors; no new network request introduced</x:v>
      </x:c>
      <x:c r="S180" s="16" t="str"/>
      <x:c r="T180" s="16" t="str">
        <x:v>User ClubMembership and device-local seen status</x:v>
      </x:c>
      <x:c r="U180" s="16" t="str">
        <x:v>No database mutation; obsolete demo_walkthrough state is no longer read or written</x:v>
      </x:c>
      <x:c r="V180" s="16" t="str">
        <x:v>Unchanged</x:v>
      </x:c>
      <x:c r="W180" s="16" t="str">
        <x:v>No new audit event required for UI-only deletion</x:v>
      </x:c>
      <x:c r="X180" s="16" t="str"/>
      <x:c r="Y180" s="16" t="str">
        <x:v>Sentry query unavailable in current task</x:v>
      </x:c>
      <x:c r="Z180" s="16" t="str">
        <x:v>athlete coach security admin and club owner</x:v>
      </x:c>
      <x:c r="AA180" s="16" t="str">
        <x:v>Each role reaches its real product surface without internal check verify or walkthrough copy</x:v>
      </x:c>
      <x:c r="AB180" s="16" t="str">
        <x:v>passed</x:v>
      </x:c>
      <x:c r="AC180" s="16" t="str">
        <x:v>passed</x:v>
      </x:c>
      <x:c r="AD180" s="16" t="str">
        <x:v>passed after fix</x:v>
      </x:c>
      <x:c r="AE180" s="16" t="str">
        <x:v>passed after fix</x:v>
      </x:c>
      <x:c r="AF180" s="16" t="str">
        <x:v>passed after fix</x:v>
      </x:c>
      <x:c r="AG180" s="16" t="str">
        <x:v>Shared React Native surfaces; responsive runtime passed; native role interaction remains blocked by host DevToolsSecurity</x:v>
      </x:c>
      <x:c r="AH180" s="16" t="str">
        <x:v>Football bookings development progress staffing and club operations remain first-class</x:v>
      </x:c>
      <x:c r="AI180" s="16" t="str">
        <x:v>passed</x:v>
      </x:c>
      <x:c r="AJ180" s="16" t="str">
        <x:v>Existing labelled controls retained; duplicate Find Coach action removed</x:v>
      </x:c>
      <x:c r="AK180" s="16" t="str">
        <x:v>fixed</x:v>
      </x:c>
      <x:c r="AL180" s="16" t="str">
        <x:v>high</x:v>
      </x:c>
      <x:c r="AM180" s="16" t="str">
        <x:v>reviews/ios-native-audit/screenshots/051-athlete-home-walkthrough-before.png | reviews/ios-native-audit/screenshots/052-athlete-home-direct-after.png | reviews/ios-native-audit/screenshots/053-coach-development-direct-after.png | reviews/ios-native-audit/screenshots/054-admin-users-direct-after.png | reviews/ios-native-audit/screenshots/055-owner-dashboard-direct-after.png</x:v>
      </x:c>
      <x:c r="AN180" s="16" t="str">
        <x:v>Internal demo walkthrough cards told real users to check verify and walk QA routes across four role surfaces; the athlete home also duplicated Find Coach in one context</x:v>
      </x:c>
      <x:c r="AO180" s="16" t="str">
        <x:v>fix(ui): remove internal walkthroughs</x:v>
      </x:c>
      <x:c r="AP180" s="16" t="str">
        <x:v>Root typecheck test compile focused boundary tests React Doctor and four-role responsive runtime passed</x:v>
      </x:c>
      <x:c r="AQ180" s="16" t="str">
        <x:v>Deleted the card hook builder stale tests and demo seen-state allowlist instead of renaming or hiding the feature</x:v>
      </x:c>
    </x:row>
    <x:row r="181" ht="48" customHeight="1">
      <x:c r="A181" s="18" t="str">
        <x:v>UI-019</x:v>
      </x:c>
      <x:c r="B181" s="16" t="str">
        <x:v>ADMIN-USER-SUMMARY-AUTHORITY</x:v>
      </x:c>
      <x:c r="C181" s="16" t="str">
        <x:v>Admin user summary and role boundary</x:v>
      </x:c>
      <x:c r="D181" s="16" t="str">
        <x:v>security admin and club admin</x:v>
      </x:c>
      <x:c r="E181" s="16" t="str">
        <x:v>/(tabs)/index and /v1/admin/users/summary and /club/my-clubs</x:v>
      </x:c>
      <x:c r="F181" s="16" t="str">
        <x:v>Users and My Clubs</x:v>
      </x:c>
      <x:c r="G181" s="16" t="str">
        <x:v>success denial loading error and refresh</x:v>
      </x:c>
      <x:c r="H181" s="16" t="str">
        <x:v>iPhone 16 Pro responsive browser viewport</x:v>
      </x:c>
      <x:c r="I181" s="16" t="str">
        <x:v>staging</x:v>
      </x:c>
      <x:c r="J181" s="16" t="str">
        <x:v>Sign in as security admin and club admin from the shared login route</x:v>
      </x:c>
      <x:c r="K181" s="16" t="str">
        <x:v>Populated staging User and UserRoleMembership tables</x:v>
      </x:c>
      <x:c r="L181" s="16" t="str">
        <x:v>1</x:v>
      </x:c>
      <x:c r="M181" s="16" t="str">
        <x:v>system-admin success and club-admin denial</x:v>
      </x:c>
      <x:c r="N181" s="16" t="str">
        <x:v>Open the role landing and reconcile every displayed count against API and database truth</x:v>
      </x:c>
      <x:c r="O181" s="16" t="str">
        <x:v>System admin sees active account totals; club admin cannot read the platform summary and lands on governed clubs</x:v>
      </x:c>
      <x:c r="P181" s="16" t="str">
        <x:v>Security admin rendered 29 active accounts with 9 coaches 6 athletes and 8 parents; club admin made zero product summary requests and landed on My Clubs</x:v>
      </x:c>
      <x:c r="Q181" s="16" t="str">
        <x:v>/v1/admin/users/summary</x:v>
      </x:c>
      <x:c r="R181" s="16" t="str">
        <x:v>Security admin GET returned 200; direct club-admin GET returned 403</x:v>
      </x:c>
      <x:c r="S181" s="16" t="str">
        <x:v>req_e385d0d4-e2a9-4293-8fb7-0a181c3077f9 | req_fc6070c9-d400-4bc5-8144-1a47f65ad951</x:v>
      </x:c>
      <x:c r="T181" s="16" t="str">
        <x:v>User UserRoleMembership AuditEvent</x:v>
      </x:c>
      <x:c r="U181" s="16" t="str">
        <x:v>Direct staging database counts matched the API and UI exactly with no mutation</x:v>
      </x:c>
      <x:c r="V181" s="16" t="str">
        <x:v>RLS enabled on all three tables with zero client policies so direct non-bypass access remains default-deny</x:v>
      </x:c>
      <x:c r="W181" s="16" t="str">
        <x:v>admin.users.summary.read SUCCESS sensitiveRead=true actingRole=security_admin total=29 | admin.users.summary.read DENY sensitiveRead=true actingRole=club_admin reason=SYSTEM_ADMIN_REQUIRED</x:v>
      </x:c>
      <x:c r="X181" s="16" t="str"/>
      <x:c r="Y181" s="16" t="str">
        <x:v>Sentry auth token unavailable; both responsive flows had zero console errors</x:v>
      </x:c>
      <x:c r="Z181" s="16" t="str">
        <x:v>security admin and club admin</x:v>
      </x:c>
      <x:c r="AA181" s="16" t="str">
        <x:v>System admin sees truthful aggregate data while club admin remains in club scope</x:v>
      </x:c>
      <x:c r="AB181" s="16" t="str">
        <x:v>passed</x:v>
      </x:c>
      <x:c r="AC181" s="16" t="str">
        <x:v>passed</x:v>
      </x:c>
      <x:c r="AD181" s="16" t="str">
        <x:v>passed after fix</x:v>
      </x:c>
      <x:c r="AE181" s="16" t="str">
        <x:v>passed after fix</x:v>
      </x:c>
      <x:c r="AF181" s="16" t="str">
        <x:v>passed after fix</x:v>
      </x:c>
      <x:c r="AG181" s="16" t="str">
        <x:v>Shared React Native surfaces; responsive runtime passed; native role interaction remains blocked by host DevToolsSecurity</x:v>
      </x:c>
      <x:c r="AH181" s="16" t="str">
        <x:v>Football club governance and role boundaries retained</x:v>
      </x:c>
      <x:c r="AI181" s="16" t="str">
        <x:v>passed</x:v>
      </x:c>
      <x:c r="AJ181" s="16" t="str">
        <x:v>Role rows expose labelled count semantics; no platform directory control is rendered for club admin</x:v>
      </x:c>
      <x:c r="AK181" s="16" t="str">
        <x:v>fixed</x:v>
      </x:c>
      <x:c r="AL181" s="16" t="str">
        <x:v>high</x:v>
      </x:c>
      <x:c r="AM181" s="16" t="str">
        <x:v>reviews/ios-native-audit/screenshots/054-admin-users-direct-after.png | reviews/ios-native-audit/screenshots/056-admin-user-summary-authoritative-after.png | reviews/ios-native-audit/screenshots/057-club-admin-governed-home-after.png</x:v>
      </x:c>
      <x:c r="AN181" s="16" t="str">
        <x:v>The Users tab read an intentionally empty auth-switcher array in API mode and showed three giant false zeros while club admins shared the platform-admin landing</x:v>
      </x:c>
      <x:c r="AO181" s="16" t="str">
        <x:v>fix(admin): load authoritative user summary</x:v>
      </x:c>
      <x:c r="AP181" s="16" t="str">
        <x:v>Root typecheck test compile lint focused Fastify and frontend tests live two-role runtime direct database reconciliation RLS metadata and audit persistence passed</x:v>
      </x:c>
      <x:c r="AQ181" s="16" t="str">
        <x:v>Ponytail replaced fake switcher-derived cards with one compact read-only summary and sent club admins to their real club authority</x:v>
      </x:c>
    </x:row>
    <x:row r="182" ht="48" customHeight="1">
      <x:c r="A182" s="18" t="str">
        <x:v>UI-020</x:v>
      </x:c>
      <x:c r="B182" s="16" t="str">
        <x:v>CLUB-ADMIN-CLUBS-FIRST</x:v>
      </x:c>
      <x:c r="C182" s="16" t="str">
        <x:v>Club-admin managed clubs first and invite validation</x:v>
      </x:c>
      <x:c r="D182" s="16" t="str">
        <x:v>club admin</x:v>
      </x:c>
      <x:c r="E182" s="16" t="str">
        <x:v>/club/my-clubs</x:v>
      </x:c>
      <x:c r="F182" s="16" t="str">
        <x:v>My Clubs</x:v>
      </x:c>
      <x:c r="G182" s="16" t="str">
        <x:v>populated success empty loading error invalid invite and valid long-link input</x:v>
      </x:c>
      <x:c r="H182" s="16" t="str">
        <x:v>iPhone 16 Pro responsive browser viewport</x:v>
      </x:c>
      <x:c r="I182" s="16" t="str">
        <x:v>staging</x:v>
      </x:c>
      <x:c r="J182" s="16" t="str">
        <x:v>Sign in as active club admin and follow governed tab redirect</x:v>
      </x:c>
      <x:c r="K182" s="16" t="str">
        <x:v>Active club-admin membership with managed and followed staging clubs</x:v>
      </x:c>
      <x:c r="L182" s="16" t="str">
        <x:v>1</x:v>
      </x:c>
      <x:c r="M182" s="16" t="str">
        <x:v>club-list priority and non-mutating invite validation</x:v>
      </x:c>
      <x:c r="N182" s="16" t="str">
        <x:v>Open My Clubs then inspect order and exercise blank invalid and long-link input states without submitting</x:v>
      </x:c>
      <x:c r="O182" s="16" t="str">
        <x:v>Existing managed clubs appear first; secondary join/create controls remain accessible and truthful</x:v>
      </x:c>
      <x:c r="P182" s="16" t="str">
        <x:v>Riverside FC and Northbridge United rendered before compact join/create controls; invalid codes remained disabled; long invite link was preserved and enabled Join</x:v>
      </x:c>
      <x:c r="Q182" s="16" t="str">
        <x:v>/v1/clubs</x:v>
      </x:c>
      <x:c r="R182" s="16" t="str">
        <x:v>GET 200; no join/create mutation sent</x:v>
      </x:c>
      <x:c r="S182" s="16" t="str">
        <x:v>req_1b68f079-0a17-4344-9b59-3c8d3dafc820</x:v>
      </x:c>
      <x:c r="T182" s="16" t="str">
        <x:v>Club ClubMembership</x:v>
      </x:c>
      <x:c r="U182" s="16" t="str">
        <x:v>Live club authority returned the managed and followed clubs; no database mutation</x:v>
      </x:c>
      <x:c r="V182" s="16" t="str">
        <x:v>Unchanged; read stayed behind backend club authority and no direct client database access was introduced</x:v>
      </x:c>
      <x:c r="W182" s="16" t="str">
        <x:v>No new audit event expected for list presentation or client-only validation</x:v>
      </x:c>
      <x:c r="X182" s="16" t="str"/>
      <x:c r="Y182" s="16" t="str">
        <x:v>Sentry auth token unavailable; live flow had zero console errors</x:v>
      </x:c>
      <x:c r="Z182" s="16" t="str">
        <x:v>club admin coach parent and athlete</x:v>
      </x:c>
      <x:c r="AA182" s="16" t="str">
        <x:v>Club admin live flow passed; shared card retains role-gated create and common join controls</x:v>
      </x:c>
      <x:c r="AB182" s="16" t="str">
        <x:v>passed</x:v>
      </x:c>
      <x:c r="AC182" s="16" t="str">
        <x:v>passed</x:v>
      </x:c>
      <x:c r="AD182" s="16" t="str">
        <x:v>passed after fix</x:v>
      </x:c>
      <x:c r="AE182" s="16" t="str">
        <x:v>passed after fix</x:v>
      </x:c>
      <x:c r="AF182" s="16" t="str">
        <x:v>passed after fix</x:v>
      </x:c>
      <x:c r="AG182" s="16" t="str">
        <x:v>Shared React Native surface; responsive runtime passed; native role interaction remains blocked by host DevToolsSecurity</x:v>
      </x:c>
      <x:c r="AH182" s="16" t="str">
        <x:v>Football club management membership and invite-code context retained</x:v>
      </x:c>
      <x:c r="AI182" s="16" t="str">
        <x:v>passed</x:v>
      </x:c>
      <x:c r="AJ182" s="16" t="str">
        <x:v>Input and buttons are labelled; disabled Join retains button role/state; icon-only Close has a VoiceOver label</x:v>
      </x:c>
      <x:c r="AK182" s="16" t="str">
        <x:v>fixed</x:v>
      </x:c>
      <x:c r="AL182" s="16" t="str">
        <x:v>high</x:v>
      </x:c>
      <x:c r="AM182" s="16" t="str">
        <x:v>reviews/ios-native-audit/screenshots/057-club-admin-governed-home-after.png | reviews/ios-native-audit/screenshots/058-club-admin-clubs-first-after.png | reviews/ios-native-audit/screenshots/059-club-admin-join-validation-after.png</x:v>
      </x:c>
      <x:c r="AN182" s="16" t="str">
        <x:v>Giant join/create marketing panel outranked existing managed clubs duplicated Open and truncated legitimate invite URLs at 24 characters; disabled Join lost its button role</x:v>
      </x:c>
      <x:c r="AO182" s="16" t="str">
        <x:v>fix(club): prioritize managed clubs</x:v>
      </x:c>
      <x:c r="AP182" s="16" t="str">
        <x:v>Root typecheck test compile focused tests lint and live club-admin responsive flow with API control state and console assertions passed</x:v>
      </x:c>
      <x:c r="AQ182" s="16" t="str">
        <x:v>Ponytail removed the avatar subtitle helper divider duplicate labels and oversized create treatment; no staging mutation executed</x:v>
      </x:c>
    </x:row>
    <x:row r="183" ht="48" customHeight="1">
      <x:c r="A183" s="18" t="str">
        <x:v>SEC-001</x:v>
      </x:c>
      <x:c r="B183" s="16" t="str">
        <x:v>VERIFICATION-EVIDENCE-UPLOAD-POLICY</x:v>
      </x:c>
      <x:c r="C183" s="16" t="str">
        <x:v>Coach verification evidence upload boundary</x:v>
      </x:c>
      <x:c r="D183" s="16" t="str">
        <x:v>coach</x:v>
      </x:c>
      <x:c r="E183" s="16" t="str">
        <x:v>/verification/id | /verification/background | /verification/credentials | /verification/insurance</x:v>
      </x:c>
      <x:c r="F183" s="16" t="str">
        <x:v>Photo ID | DBS certificate | Credentials | Insurance</x:v>
      </x:c>
      <x:c r="G183" s="16" t="str">
        <x:v>allowed exact limit; denied unsupported, mismatched, oversized and empty</x:v>
      </x:c>
      <x:c r="H183" s="16" t="str">
        <x:v>iPhone 13 responsive emulation; isolated Fastify test process</x:v>
      </x:c>
      <x:c r="I183" s="16" t="str">
        <x:v>staging read-only UI; seed API tests</x:v>
      </x:c>
      <x:c r="J183" s="16" t="str">
        <x:v>Coach verification document picker and API attachment</x:v>
      </x:c>
      <x:c r="K183" s="16" t="str">
        <x:v>Coach-owned private AVAILABLE media; clean scan for attachment test</x:v>
      </x:c>
      <x:c r="L183" s="16" t="str">
        <x:v>1</x:v>
      </x:c>
      <x:c r="M183" s="16" t="str">
        <x:v>clean success; wrong owner; infected; public; SVG; text; kind mismatch; oversize; empty</x:v>
      </x:c>
      <x:c r="N183" s="16" t="str">
        <x:v>Choose or attach verification evidence</x:v>
      </x:c>
      <x:c r="O183" s="16" t="str">
        <x:v>Only PDF, JPEG, PNG, WebP or HEIC up to 20 MiB reaches verification attachment; ownership, privacy, availability and a clean malware scan remain mandatory</x:v>
      </x:c>
      <x:c r="P183" s="16" t="str">
        <x:v>All four pickers use an explicit allowlist; service rejects SVG, text, empty and oversized selections; API accepts an exact-limit clean PDF and rejects five unsafe boundary cases without linking them</x:v>
      </x:c>
      <x:c r="Q183" s="16" t="str">
        <x:v>POST /v1/uploads/init | POST /v1/coaches/me/verifications/:type/documents</x:v>
      </x:c>
      <x:c r="R183" s="16" t="str">
        <x:v>Focused API proof: exact 20 MiB private clean PDF 201; wrong owner 403; infected, public, SVG, text, kind mismatch, oversize and empty evidence 400</x:v>
      </x:c>
      <x:c r="S183" s="16" t="str">
        <x:v>isolated Fastify app.inject; no staging mutation or staging request ID</x:v>
      </x:c>
      <x:c r="T183" s="16" t="str">
        <x:v>CoachVerification | VerificationDocument | MediaObject | MalwareScanResult | AuditEvent</x:v>
      </x:c>
      <x:c r="U183" s="16" t="str">
        <x:v>Seed proof linked the exact-limit PDF; five denied media IDs created no VerificationDocument row; staging remained read-only</x:v>
      </x:c>
      <x:c r="V183" s="16" t="str">
        <x:v>Unchanged: all five tables have RLS enabled with zero policies and zero anon/authenticated/PUBLIC grants</x:v>
      </x:c>
      <x:c r="W183" s="16" t="str">
        <x:v>Isolated boundary proof persisted one SUCCESS and five DENY coach_verification_documents.submit events; existing tests retain wrong-owner, infected and public denials</x:v>
      </x:c>
      <x:c r="X183" s="16" t="str"/>
      <x:c r="Y183" s="16" t="str">
        <x:v>blocked: Sentry issue-read request returns HTTP 403 for the current token</x:v>
      </x:c>
      <x:c r="Z183" s="16" t="str">
        <x:v>coach; platform verification reviewers unchanged</x:v>
      </x:c>
      <x:c r="AA183" s="16" t="str">
        <x:v>Coach evidence attachment is constrained; platform review authority is unchanged</x:v>
      </x:c>
      <x:c r="AB183" s="16" t="str">
        <x:v>passed</x:v>
      </x:c>
      <x:c r="AC183" s="16" t="str">
        <x:v>passed</x:v>
      </x:c>
      <x:c r="AD183" s="16" t="str">
        <x:v>removed generic image wildcard; no extra control added</x:v>
      </x:c>
      <x:c r="AE183" s="16" t="str">
        <x:v>none added</x:v>
      </x:c>
      <x:c r="AF183" s="16" t="str">
        <x:v>passed</x:v>
      </x:c>
      <x:c r="AG183" s="16" t="str">
        <x:v>shared React Native picker policy implemented; deterministic native semantic retest blocked by host DevToolsSecurity</x:v>
      </x:c>
      <x:c r="AH183" s="16" t="str">
        <x:v>DBS, coaching qualification, insurance and ID evidence</x:v>
      </x:c>
      <x:c r="AI183" s="16" t="str">
        <x:v>5/5 responsive coach route replay; zero overflow, nested controls or product-text findings</x:v>
      </x:c>
      <x:c r="AJ183" s="16" t="str">
        <x:v>existing named controls and radio semantics retained; native tree remains blocked</x:v>
      </x:c>
      <x:c r="AK183" s="16" t="str">
        <x:v>fixed</x:v>
      </x:c>
      <x:c r="AL183" s="16" t="str">
        <x:v>high</x:v>
      </x:c>
      <x:c r="AM183" s="16" t="str">
        <x:v>reviews/ios-native-audit/runtime/2026-07-31/report.verification-upload-policy.json | services/verification-service.ts | apps/api/src/modules/p0-core/routes.test.ts</x:v>
      </x:c>
      <x:c r="AN183" s="16" t="str">
        <x:v>Verification evidence inherited the general 2 GB upload ceiling and a broad image/document picker</x:v>
      </x:c>
      <x:c r="AO183" s="16" t="str">
        <x:v>fix(security): constrain verification evidence uploads</x:v>
      </x:c>
      <x:c r="AP183" s="16" t="str">
        <x:v>root/API typecheck, test compile, focused lint, frontend 12/12, API positive/denial proof, coach responsive 5/5</x:v>
      </x:c>
      <x:c r="AQ183" s="16" t="str">
        <x:v>No destructive staging or production upload. Sources: https://cheatsheetseries.owasp.org/cheatsheets/File_Upload_Cheat_Sheet.html | https://developer.apple.com/documentation/avfoundation/avfiletype/heic. React Doctor changed-scope reported no verification-slice location.</x:v>
      </x:c>
    </x:row>
    <x:row r="184" ht="48" customHeight="1">
      <x:c r="A184" s="18" t="str">
        <x:v>SEC-002</x:v>
      </x:c>
      <x:c r="B184" s="16" t="str">
        <x:v>ADD-CHILD-CREATE-AUTHORITY</x:v>
      </x:c>
      <x:c r="C184" s="16" t="str">
        <x:v>Child creation assignment-scope boundary</x:v>
      </x:c>
      <x:c r="D184" s="16" t="str">
        <x:v>family owner; delegated admin; assigned guardian; unrelated authenticated user</x:v>
      </x:c>
      <x:c r="E184" s="16" t="str">
        <x:v>POST /v1/athletes | /add-child</x:v>
      </x:c>
      <x:c r="F184" s="16" t="str">
        <x:v>Add Child</x:v>
      </x:c>
      <x:c r="G184" s="16" t="str">
        <x:v>owner/admin success; guardian/outsider denial</x:v>
      </x:c>
      <x:c r="H184" s="16" t="str">
        <x:v>iPhone 13 responsive emulation; isolated Fastify test process</x:v>
      </x:c>
      <x:c r="I184" s="16" t="str">
        <x:v>staging read-only UI; seed API tests</x:v>
      </x:c>
      <x:c r="J184" s="16" t="str">
        <x:v>Add-child entry points and direct POST</x:v>
      </x:c>
      <x:c r="K184" s="16" t="str">
        <x:v>Active family with owner, assigned guardian, and child-scoped guardian link</x:v>
      </x:c>
      <x:c r="L184" s="16" t="str">
        <x:v>1</x:v>
      </x:c>
      <x:c r="M184" s="16" t="str">
        <x:v>owner success; delegated admin success; assigned guardian deny; unrelated user deny</x:v>
      </x:c>
      <x:c r="N184" s="16" t="str">
        <x:v>Open the form or create an athlete</x:v>
      </x:c>
      <x:c r="O184" s="16" t="str">
        <x:v>Only family owner, primary guardian or explicit family admin can create; denial creates nothing and is audited</x:v>
      </x:c>
      <x:c r="P184" s="16" t="str">
        <x:v>Repository and client use explicit family-admin authority; unauthorised controls are absent and direct routes redirect</x:v>
      </x:c>
      <x:c r="Q184" s="16" t="str">
        <x:v>POST /v1/athletes</x:v>
      </x:c>
      <x:c r="R184" s="16" t="str">
        <x:v>Owner 201; delegated admin 201; assigned guardian 403; unrelated user 403</x:v>
      </x:c>
      <x:c r="S184" s="16" t="str">
        <x:v>Isolated Fastify app.inject; no staging mutation request ID</x:v>
      </x:c>
      <x:c r="T184" s="16" t="str">
        <x:v>Family | FamilyMembership | Athlete | GuardianChildLink | AuditEvent</x:v>
      </x:c>
      <x:c r="U184" s="16" t="str">
        <x:v>Both denials left Athlete and GuardianChildLink counts unchanged; authorised creates added exactly one of each</x:v>
      </x:c>
      <x:c r="V184" s="16" t="str">
        <x:v>Unchanged from prior Supabase review; application writes remain behind Fastify authority</x:v>
      </x:c>
      <x:c r="W184" s="16" t="str">
        <x:v>Focused proof persisted 2 SUCCESS and 2 DENY athlete.create events</x:v>
      </x:c>
      <x:c r="X184" s="16" t="str"/>
      <x:c r="Y184" s="16" t="str">
        <x:v>blocked: current Sentry token returns HTTP 403 for issue reads</x:v>
      </x:c>
      <x:c r="Z184" s="16" t="str">
        <x:v>family owner | delegated admin | assigned guardian | unrelated roles</x:v>
      </x:c>
      <x:c r="AA184" s="16" t="str">
        <x:v>Admin scopes create; child assignment alone does not escalate authority</x:v>
      </x:c>
      <x:c r="AB184" s="16" t="str">
        <x:v>passed</x:v>
      </x:c>
      <x:c r="AC184" s="16" t="str">
        <x:v>passed</x:v>
      </x:c>
      <x:c r="AD184" s="16" t="str">
        <x:v>Add-child entry points removed for actors who cannot complete them</x:v>
      </x:c>
      <x:c r="AE184" s="16" t="str">
        <x:v>none added</x:v>
      </x:c>
      <x:c r="AF184" s="16" t="str">
        <x:v>passed</x:v>
      </x:c>
      <x:c r="AG184" s="16" t="str">
        <x:v>Shared React Native capability gate; deterministic native replay remains blocked by host DevToolsSecurity</x:v>
      </x:c>
      <x:c r="AH184" s="16" t="str">
        <x:v>Youth athlete and guardian assignment governance</x:v>
      </x:c>
      <x:c r="AI184" s="16" t="str">
        <x:v>5/5 cross-role replay passed with zero automated layout findings</x:v>
      </x:c>
      <x:c r="AJ184" s="16" t="str">
        <x:v>Direct route blocks before form content; existing labelled controls retained</x:v>
      </x:c>
      <x:c r="AK184" s="16" t="str">
        <x:v>fixed</x:v>
      </x:c>
      <x:c r="AL184" s="16" t="str">
        <x:v>high</x:v>
      </x:c>
      <x:c r="AM184" s="16" t="str">
        <x:v>reviews/ios-native-audit/runtime/2026-07-31/add-child-authority-final/report.json | apps/api/src/modules/family-athlete/routes.test.ts | __tests__/hooks/add-child-authority-boundary.test.ts</x:v>
      </x:c>
      <x:c r="AN184" s="16" t="str">
        <x:v>Any family member could create an athlete and become that child’s primary guardian, escaping assignment scope</x:v>
      </x:c>
      <x:c r="AO184" s="16" t="str">
        <x:v>fix(security): restrict child creation authority</x:v>
      </x:c>
      <x:c r="AP184" s="16" t="str">
        <x:v>API 26/26; UI boundary 1/1; permission service 3/3; role replay 5/5; root/API typecheck passed</x:v>
      </x:c>
      <x:c r="AQ184" s="16" t="str">
        <x:v>No destructive staging or production create. The runner now separates family-owner and assigned-guardian fixtures.</x:v>
      </x:c>
    </x:row>
    <x:row r="185" ht="48" customHeight="1">
      <x:c r="A185" s="18" t="str">
        <x:v>UI-022</x:v>
      </x:c>
      <x:c r="B185" s="16" t="str">
        <x:v>ADD-CHILD-VISUAL-SIMPLIFICATION</x:v>
      </x:c>
      <x:c r="C185" s="16" t="str">
        <x:v>Add-child registration design and control integrity</x:v>
      </x:c>
      <x:c r="D185" s="16" t="str">
        <x:v>family admin</x:v>
      </x:c>
      <x:c r="E185" s="16" t="str">
        <x:v>/add-child</x:v>
      </x:c>
      <x:c r="F185" s="16" t="str">
        <x:v>Player details | Support needs | Safety</x:v>
      </x:c>
      <x:c r="G185" s="16" t="str">
        <x:v>initial; required choices; support yes/no; medical yes/no; step transition</x:v>
      </x:c>
      <x:c r="H185" s="16" t="str">
        <x:v>iPhone 13 responsive emulation</x:v>
      </x:c>
      <x:c r="I185" s="16" t="str">
        <x:v>staging read-only responsive replay</x:v>
      </x:c>
      <x:c r="J185" s="16" t="str">
        <x:v>Direct /add-child as family owner</x:v>
      </x:c>
      <x:c r="K185" s="16" t="str">
        <x:v>Authorised family owner; no profile submission</x:v>
      </x:c>
      <x:c r="L185" s="16" t="str">
        <x:v>1-3</x:v>
      </x:c>
      <x:c r="M185" s="16" t="str">
        <x:v>details; support collapsed; support expanded; safety; medical expanded</x:v>
      </x:c>
      <x:c r="N185" s="16" t="str">
        <x:v>Complete required player fields and traverse every step without submitting</x:v>
      </x:c>
      <x:c r="O185" s="16" t="str">
        <x:v>Compact football registration with one hierarchy, direct trust copy and controls that complete their stated intent</x:v>
      </x:c>
      <x:c r="P185" s="16" t="str">
        <x:v>All three steps use one title, 1 / 3 progress, compact fields, semantic choices and stable top-of-step scroll; support and medical branches expand cleanly; all four consent flags default denied</x:v>
      </x:c>
      <x:c r="Q185" s="16" t="str">
        <x:v>GET /v1/me | GET /v1/families/:familyId</x:v>
      </x:c>
      <x:c r="R185" s="16" t="str">
        <x:v>Five responsive flows completed with no failed request or console error; no POST /v1/athletes was submitted</x:v>
      </x:c>
      <x:c r="S185" s="16" t="str">
        <x:v>Read-only responsive replay; see report</x:v>
      </x:c>
      <x:c r="T185" s="16" t="str">
        <x:v>Family | FamilyMembership | Athlete | GuardianChildLink | AuditEvent</x:v>
      </x:c>
      <x:c r="U185" s="16" t="str">
        <x:v>No athlete, guardian link or consent mutation was submitted</x:v>
      </x:c>
      <x:c r="V185" s="16" t="str">
        <x:v>Unchanged; this slice exercised the shared client without a write</x:v>
      </x:c>
      <x:c r="W185" s="16" t="str">
        <x:v>No create event expected because the final Add child action was not pressed</x:v>
      </x:c>
      <x:c r="X185" s="16" t="str"/>
      <x:c r="Y185" s="16" t="str">
        <x:v>blocked: current Sentry token returns HTTP 403 for issue reads</x:v>
      </x:c>
      <x:c r="Z185" s="16" t="str">
        <x:v>family admin; unauthorised roles remain blocked by SEC-002</x:v>
      </x:c>
      <x:c r="AA185" s="16" t="str">
        <x:v>Authorised registration flow passed; existing direct-route denial remains intact</x:v>
      </x:c>
      <x:c r="AB185" s="16" t="str">
        <x:v>passed</x:v>
      </x:c>
      <x:c r="AC185" s="16" t="str">
        <x:v>passed</x:v>
      </x:c>
      <x:c r="AD185" s="16" t="str">
        <x:v>removed duplicate title block, generic step dots, oversized photo treatment, card explainers and unreachable consent step</x:v>
      </x:c>
      <x:c r="AE185" s="16" t="str">
        <x:v>passed: one restrained progress rule and ordinary native form controls</x:v>
      </x:c>
      <x:c r="AF185" s="16" t="str">
        <x:v>passed: Player details, Support needs, Safety, Continue and Add child</x:v>
      </x:c>
      <x:c r="AG185" s="16" t="str">
        <x:v>Shared React Native controls; deterministic native visual and VoiceOver replay remains blocked by host lock/DevToolsSecurity</x:v>
      </x:c>
      <x:c r="AH185" s="16" t="str">
        <x:v>Youth player registration and assigned-coach support context</x:v>
      </x:c>
      <x:c r="AI185" s="16" t="str">
        <x:v>Manual review plus 5/5 replay at 390px; zero overflow, nested controls or product-text findings</x:v>
      </x:c>
      <x:c r="AJ185" s="16" t="str">
        <x:v>Semantic progressbar, radio/checkbox state, default-off native Switch, labelled inputs/actions, explicit date Done and working cancel; native tree remains blocked</x:v>
      </x:c>
      <x:c r="AK185" s="16" t="str">
        <x:v>fixed</x:v>
      </x:c>
      <x:c r="AL185" s="16" t="str">
        <x:v>medium</x:v>
      </x:c>
      <x:c r="AM185" s="16" t="str">
        <x:v>reviews/ios-native-audit/runtime/2026-07-31/add-child-redesign/report.json | reviews/ios-native-audit/runtime/2026-07-31/add-child-redesign/parent__parent_add_child.png | reviews/ios-native-audit/runtime/2026-07-31/add-child-redesign/parent__parent_add_child_support.png | reviews/ios-native-audit/runtime/2026-07-31/add-child-redesign/parent__parent_add_child_support_details.png | reviews/ios-native-audit/runtime/2026-07-31/add-child-redesign/parent__parent_add_child_safety.png | reviews/ios-native-audit/runtime/2026-07-31/add-child-redesign/parent__parent_add_child_medical_details.png | __tests__/hooks/add-child-ui-boundary.test.ts</x:v>
      </x:c>
      <x:c r="AN185" s="16" t="str">
        <x:v>Oversized photo/close treatment, generic wizard dots, duplicate hierarchy, vague copy, handmade switches, stale step scroll and a no-op cancel made the flow look generated and behave inconsistently</x:v>
      </x:c>
      <x:c r="AO185" s="16" t="str">
        <x:v>fix(ui): simplify child registration</x:v>
      </x:c>
      <x:c r="AP185" s="16" t="str">
        <x:v>5/5 responsive branch replay; focused UI/authority tests 5/5; root typecheck and test compile passed; React Doctor remained 84/100</x:v>
      </x:c>
      <x:c r="AQ185" s="16" t="str">
        <x:v>No staging or production create was submitted. Ponytail deleted 152 lines of unreachable duplicate consent UI. Non-form service consent fallbacks are tracked separately in SEC-003.</x:v>
      </x:c>
    </x:row>
    <x:row r="186" ht="48" customHeight="1">
      <x:c r="A186" s="18" t="str">
        <x:v>SEC-003</x:v>
      </x:c>
      <x:c r="B186" s="16" t="str">
        <x:v>CHILD-MEDIA-CONSENT-DEFAULT-DENY</x:v>
      </x:c>
      <x:c r="C186" s="16" t="str">
        <x:v>Child consent default-deny and audited guardian updates</x:v>
      </x:c>
      <x:c r="D186" s="16" t="str">
        <x:v>family admin; child; assigned coach</x:v>
      </x:c>
      <x:c r="E186" s="16" t="str">
        <x:v>/add-child | /child/:id/medical | GET and PUT /v1/athletes/:athleteId/consents</x:v>
      </x:c>
      <x:c r="F186" s="16" t="str">
        <x:v>Add child and child health consent synchronization</x:v>
      </x:c>
      <x:c r="G186" s="16" t="str">
        <x:v>missing consent; explicit grant; explicit revoke; profile hydration</x:v>
      </x:c>
      <x:c r="H186" s="16" t="str">
        <x:v>shared React Native service; isolated Fastify harness</x:v>
      </x:c>
      <x:c r="I186" s="16" t="str">
        <x:v>local mock/service tests; isolated seed API; read-only staging catalog</x:v>
      </x:c>
      <x:c r="J186" s="16" t="str">
        <x:v>Create or hydrate a child then read and update consent through family health authority</x:v>
      </x:c>
      <x:c r="K186" s="16" t="str">
        <x:v>No implicit consent decision; authorised guardian for writes</x:v>
      </x:c>
      <x:c r="L186" s="16" t="str">
        <x:v>1-3</x:v>
      </x:c>
      <x:c r="M186" s="16" t="str">
        <x:v>missing=denied; explicit grant=granted; explicit revoke=denied</x:v>
      </x:c>
      <x:c r="N186" s="16" t="str">
        <x:v>Resolve missing values, grant selected types, then revoke a prior grant</x:v>
      </x:c>
      <x:c r="O186" s="16" t="str">
        <x:v>Every unresolved type stays denied; only the guardian write changes state; each resulting state is auditable</x:v>
      </x:c>
      <x:c r="P186" s="16" t="str">
        <x:v>All four missing values resolve false in creation, clearing, API mapping and hydration; explicit video/emergency grants resolve true; photo revocation resolves false and supersedes the prior row</x:v>
      </x:c>
      <x:c r="Q186" s="16" t="str">
        <x:v>GET /v1/athletes/:athleteId/consents | PUT /v1/athletes/:athleteId/consents</x:v>
      </x:c>
      <x:c r="R186" s="16" t="str">
        <x:v>26/26 isolated family-athlete route tests passed; missing read returned four denials and two guardian updates returned the requested final states</x:v>
      </x:c>
      <x:c r="S186" s="16" t="str">
        <x:v>Isolated Fastify app.inject requests; no live consent mutation</x:v>
      </x:c>
      <x:c r="T186" s="16" t="str">
        <x:v>ChildConsent | AuditEvent</x:v>
      </x:c>
      <x:c r="U186" s="16" t="str">
        <x:v>Seed repository retained four current rows, superseded the previous four and set revokedAt for denied rows; Prisma implementation uses the same default-deny replacement transaction</x:v>
      </x:c>
      <x:c r="V186" s="16" t="str">
        <x:v>Read-only staging preflight: 55/55 migrations applied, zero current public tables without RLS and zero direct anon/authenticated grants</x:v>
      </x:c>
      <x:c r="W186" s="16" t="str">
        <x:v>Two consents.update SUCCESS events persisted with complete grantedTypes and deniedTypes metadata; two consent reads persisted</x:v>
      </x:c>
      <x:c r="X186" s="16" t="str"/>
      <x:c r="Y186" s="16" t="str">
        <x:v>blocked: current Sentry token returns HTTP 403 for issue reads</x:v>
      </x:c>
      <x:c r="Z186" s="16" t="str">
        <x:v>children; family administrators; assigned coaches consuming consent</x:v>
      </x:c>
      <x:c r="AA186" s="16" t="str">
        <x:v>Children remain denied by default; authorised guardian grants/revokes work; coach-facing consent consumers receive backend state instead of invented client grants</x:v>
      </x:c>
      <x:c r="AB186" s="16" t="str">
        <x:v>passed</x:v>
      </x:c>
      <x:c r="AC186" s="16" t="str">
        <x:v>passed</x:v>
      </x:c>
      <x:c r="AD186" s="16" t="str">
        <x:v>not applicable; no new control or copy added</x:v>
      </x:c>
      <x:c r="AE186" s="16" t="str">
        <x:v>not applicable; security boundary only</x:v>
      </x:c>
      <x:c r="AF186" s="16" t="str">
        <x:v>unchanged</x:v>
      </x:c>
      <x:c r="AG186" s="16" t="str">
        <x:v>Shared service behavior; native and responsive clients use the same false defaults</x:v>
      </x:c>
      <x:c r="AH186" s="16" t="str">
        <x:v>Session photography, training video and emergency-treatment safeguarding</x:v>
      </x:c>
      <x:c r="AI186" s="16" t="str">
        <x:v>not applicable</x:v>
      </x:c>
      <x:c r="AJ186" s="16" t="str">
        <x:v>No UI semantic change; Add Child retains the labelled default-off native Switch</x:v>
      </x:c>
      <x:c r="AK186" s="16" t="str">
        <x:v>fixed</x:v>
      </x:c>
      <x:c r="AL186" s="16" t="str">
        <x:v>high</x:v>
      </x:c>
      <x:c r="AM186" s="16" t="str">
        <x:v>__tests__/services/child-service.test.ts | __tests__/services/family-member-service-api-mode.test.ts | apps/api/src/modules/family-athlete/routes.test.ts | services/child-service.ts | services/family/family-api-support.ts | apps/api/src/modules/family-athlete/routes.ts | docs/trust/auth-and-permission-boundaries.md</x:v>
      </x:c>
      <x:c r="AN186" s="16" t="str">
        <x:v>Missing, cleared and hydrated client consent previously became granted for photo, video and emergency treatment without a guardian decision</x:v>
      </x:c>
      <x:c r="AO186" s="16" t="str">
        <x:v>fix(security): default child consent to denied</x:v>
      </x:c>
      <x:c r="AP186" s="16" t="str">
        <x:v>test compile passed; focused app tests 28/28; focused Fastify tests 26/26; migration audit passed with 0 missing RLS and 0 current direct role grants</x:v>
      </x:c>
      <x:c r="AQ186" s="16" t="str">
        <x:v>No staging or production child or consent was changed. Supabase MCP tool availability remains blocked in ENV-003; the separate future-default privilege blocker is SEC-004.</x:v>
      </x:c>
    </x:row>
    <x:row r="187" ht="48" customHeight="1">
      <x:c r="A187" s="18" t="str">
        <x:v>SEC-004</x:v>
      </x:c>
      <x:c r="B187" s="16" t="str">
        <x:v>SUPABASE-FUTURE-OBJECT-DEFAULT-PRIVILEGES</x:v>
      </x:c>
      <x:c r="C187" s="16" t="str">
        <x:v>Supabase public-schema current and future access posture</x:v>
      </x:c>
      <x:c r="D187" s="16" t="str">
        <x:v>system</x:v>
      </x:c>
      <x:c r="E187" s="16" t="str">
        <x:v>Postgres catalog and Supabase control plane</x:v>
      </x:c>
      <x:c r="F187" s="16" t="str">
        <x:v>Database release preflight</x:v>
      </x:c>
      <x:c r="G187" s="16" t="str">
        <x:v>current objects closed; future supabase_admin defaults open</x:v>
      </x:c>
      <x:c r="H187" s="16" t="str">
        <x:v>local audit task</x:v>
      </x:c>
      <x:c r="I187" s="16" t="str">
        <x:v>staging database read-only</x:v>
      </x:c>
      <x:c r="J187" s="16" t="str">
        <x:v>npm run audit:db:stage -- --json</x:v>
      </x:c>
      <x:c r="K187" s="16" t="str">
        <x:v>Staging DATABASE_URL; Prisma read-only catalog access; no production target</x:v>
      </x:c>
      <x:c r="L187" s="16" t="str">
        <x:v>1</x:v>
      </x:c>
      <x:c r="M187" s="16" t="str">
        <x:v>current RLS/grants; future default privileges</x:v>
      </x:c>
      <x:c r="N187" s="16" t="str">
        <x:v>Query applied migrations, RLS flags, direct grants, default grants and security-definer functions</x:v>
      </x:c>
      <x:c r="O187" s="16" t="str">
        <x:v>All current public objects and future objects remain inaccessible to PUBLIC, anon and authenticated outside Fastify</x:v>
      </x:c>
      <x:c r="P187" s="16" t="str">
        <x:v>Current objects passed, but supabase_admin defaults still grant future table, sequence and routine privileges to PUBLIC, anon or authenticated</x:v>
      </x:c>
      <x:c r="Q187" s="16" t="str">
        <x:v>Supabase Postgres catalog; MCP server reachability</x:v>
      </x:c>
      <x:c r="R187" s="16" t="str">
        <x:v>Database query completed read-only; MCP endpoint returned expected unauthenticated HTTP 401 but configured MCP tools were not exposed in this task</x:v>
      </x:c>
      <x:c r="S187" s="16" t="str">
        <x:v>Read-only local audit; no database write</x:v>
      </x:c>
      <x:c r="T187" s="16" t="str">
        <x:v>pg_tables | pg_class | pg_default_acl | pg_proc | _prisma_migrations</x:v>
      </x:c>
      <x:c r="U187" s="16" t="str">
        <x:v>55/55 migrations applied; required columns present; connected principal postgres cannot alter supabase_admin defaults</x:v>
      </x:c>
      <x:c r="V187" s="16" t="str">
        <x:v>zero rlsDisabledTables; zero current direct anon/authenticated/PUBLIC grants; 25 unsafe supabase_admin future-default grant findings</x:v>
      </x:c>
      <x:c r="W187" s="16" t="str">
        <x:v>No product audit event expected from read-only catalog inspection</x:v>
      </x:c>
      <x:c r="X187" s="16" t="str"/>
      <x:c r="Y187" s="16" t="str">
        <x:v>not applicable</x:v>
      </x:c>
      <x:c r="Z187" s="16" t="str">
        <x:v>all roles; future objects only</x:v>
      </x:c>
      <x:c r="AA187" s="16" t="str">
        <x:v>No current direct exposure found; a future Supabase-owned public object could inherit unintended Data API authority</x:v>
      </x:c>
      <x:c r="AB187" s="16" t="str">
        <x:v>failed release posture</x:v>
      </x:c>
      <x:c r="AC187" s="16" t="str">
        <x:v>requires Supabase owner/control-plane authority</x:v>
      </x:c>
      <x:c r="AD187" s="16" t="str">
        <x:v>not applicable</x:v>
      </x:c>
      <x:c r="AE187" s="16" t="str">
        <x:v>not applicable</x:v>
      </x:c>
      <x:c r="AF187" s="16" t="str">
        <x:v>not applicable</x:v>
      </x:c>
      <x:c r="AG187" s="16" t="str">
        <x:v>not applicable</x:v>
      </x:c>
      <x:c r="AH187" s="16" t="str">
        <x:v>Protects all Clubroom family, medical, safeguarding and commercial data</x:v>
      </x:c>
      <x:c r="AI187" s="16" t="str">
        <x:v>not applicable</x:v>
      </x:c>
      <x:c r="AJ187" s="16" t="str">
        <x:v>not applicable</x:v>
      </x:c>
      <x:c r="AK187" s="16" t="str">
        <x:v>pending</x:v>
      </x:c>
      <x:c r="AL187" s="16" t="str">
        <x:v>high</x:v>
      </x:c>
      <x:c r="AM187" s="16" t="str">
        <x:v>scripts/db-staging-preflight.js | scripts/audit-db-migrations.js | scripts/sql/revoke-supabase-default-grants.sql | packages/db/prisma/migrations/20260707221642_enable_public_table_rls/migration.sql</x:v>
      </x:c>
      <x:c r="AN187" s="16" t="str">
        <x:v>Supabase supabase_admin default privileges can give future public-schema objects broad PUBLIC, anon or authenticated access despite current objects being closed</x:v>
      </x:c>
      <x:c r="AO187" s="16" t="str"/>
      <x:c r="AP187" s="16" t="str">
        <x:v>pending authorised default-privilege revocation and a clean read-only staging preflight</x:v>
      </x:c>
      <x:c r="AQ187" s="16" t="str">
        <x:v>No write was attempted: current postgres lacks supabase_admin USAGE and Supabase MCP tools are not exposed in this task. Current ChildConsent remains RLS-enabled with no direct anon/authenticated grant.</x:v>
      </x:c>
    </x:row>
    <x:row r="188" ht="48" customHeight="1">
      <x:c r="A188" s="18" t="str">
        <x:v>SEC-005</x:v>
      </x:c>
      <x:c r="B188" s="16" t="str">
        <x:v>CHILD-CREATE-ATOMICITY</x:v>
      </x:c>
      <x:c r="C188" s="16" t="str">
        <x:v>Atomic child profile and protected-data creation</x:v>
      </x:c>
      <x:c r="D188" s="16" t="str">
        <x:v>family admin; child; downstream assigned coach</x:v>
      </x:c>
      <x:c r="E188" s="16" t="str">
        <x:v>/add-child | POST /v1/athletes</x:v>
      </x:c>
      <x:c r="F188" s="16" t="str">
        <x:v>Add Child final submission</x:v>
      </x:c>
      <x:c r="G188" s="16" t="str">
        <x:v>successful create; injected protected-data write failure</x:v>
      </x:c>
      <x:c r="H188" s="16" t="str">
        <x:v>shared React Native service; isolated Fastify harness</x:v>
      </x:c>
      <x:c r="I188" s="16" t="str">
        <x:v>local API-mode app test; isolated seed API; Prisma source/type proof</x:v>
      </x:c>
      <x:c r="J188" s="16" t="str">
        <x:v>Complete Add Child and press Add child once</x:v>
      </x:c>
      <x:c r="K188" s="16" t="str">
        <x:v>Authorised family administrator; profile and safeguarding data entered</x:v>
      </x:c>
      <x:c r="L188" s="16" t="str">
        <x:v>3</x:v>
      </x:c>
      <x:c r="M188" s="16" t="str">
        <x:v>complete success; medical initialization failure after base rows</x:v>
      </x:c>
      <x:c r="N188" s="16" t="str">
        <x:v>Submit the player profile and protected data through the create command</x:v>
      </x:c>
      <x:c r="O188" s="16" t="str">
        <x:v>Athlete, guardian assignment and all supplied protected records commit together or none remain</x:v>
      </x:c>
      <x:c r="P188" s="16" t="str">
        <x:v>Success created the complete bundle; injected medical failure after athlete, link and support tag insertion returned 500 and restored every affected table count</x:v>
      </x:c>
      <x:c r="Q188" s="16" t="str">
        <x:v>POST /v1/athletes</x:v>
      </x:c>
      <x:c r="R188" s="16" t="str">
        <x:v>Success returned 201; injected repository failure returned 500; app API-mode proof observed exactly one write and no medical/contact/consent follow-up write</x:v>
      </x:c>
      <x:c r="S188" s="16" t="str">
        <x:v>Isolated Fastify app.inject and mocked app API transport; no live request</x:v>
      </x:c>
      <x:c r="T188" s="16" t="str">
        <x:v>Athlete | GuardianChildLink | ChildSenTag | ChildMedicalRecord | ChildEmergencyContact | ChildConsent | AuditEvent</x:v>
      </x:c>
      <x:c r="U188" s="16" t="str">
        <x:v>Seed success persisted the complete bundle; seed failure left all seven domain table counts unchanged; Prisma writes the same records inside one $transaction</x:v>
      </x:c>
      <x:c r="V188" s="16" t="str">
        <x:v>Unchanged read-only staging posture: current affected public tables have RLS enabled with zero direct anon/authenticated/PUBLIC grants</x:v>
      </x:c>
      <x:c r="W188" s="16" t="str">
        <x:v>Successful bundled create persisted athlete.create plus medical.update, emergency_contacts.update and final-state consents.update; rollback persisted athlete.create ERROR only</x:v>
      </x:c>
      <x:c r="X188" s="16" t="str"/>
      <x:c r="Y188" s="16" t="str">
        <x:v>blocked: current Sentry token returns HTTP 403 for issue reads</x:v>
      </x:c>
      <x:c r="Z188" s="16" t="str">
        <x:v>family administrators; newly created children; coaches consuming protected state</x:v>
      </x:c>
      <x:c r="AA188" s="16" t="str">
        <x:v>Admin receives one truthful create result; children cannot be orphaned by a later client write failure; downstream roles see one consistent backend record</x:v>
      </x:c>
      <x:c r="AB188" s="16" t="str">
        <x:v>passed</x:v>
      </x:c>
      <x:c r="AC188" s="16" t="str">
        <x:v>passed: one submit intent and one backend write</x:v>
      </x:c>
      <x:c r="AD188" s="16" t="str">
        <x:v>not applicable; no UI or copy added</x:v>
      </x:c>
      <x:c r="AE188" s="16" t="str">
        <x:v>not applicable; integrity boundary only</x:v>
      </x:c>
      <x:c r="AF188" s="16" t="str">
        <x:v>unchanged</x:v>
      </x:c>
      <x:c r="AG188" s="16" t="str">
        <x:v>Shared service sends one request on iOS and responsive clients; deterministic native interaction remains blocked by host DevToolsSecurity</x:v>
      </x:c>
      <x:c r="AH188" s="16" t="str">
        <x:v>Youth player registration, guardian assignment and safeguarding records</x:v>
      </x:c>
      <x:c r="AI188" s="16" t="str">
        <x:v>unchanged</x:v>
      </x:c>
      <x:c r="AJ188" s="16" t="str">
        <x:v>No semantic UI change; existing labelled Add child action remains the single submit control</x:v>
      </x:c>
      <x:c r="AK188" s="16" t="str">
        <x:v>fixed</x:v>
      </x:c>
      <x:c r="AL188" s="16" t="str">
        <x:v>high</x:v>
      </x:c>
      <x:c r="AM188" s="16" t="str">
        <x:v>__tests__/services/family-member-service-api-mode.test.ts | apps/api/src/modules/family-athlete/routes.test.ts | apps/api/src/modules/family-athlete/routes.ts | apps/api/src/repositories/p0/family-athlete-repository.ts | services/child-service.ts | docs/backend-api/ROUTE_INVENTORY_V1.md | docs/trust/auth-and-permission-boundaries.md</x:v>
      </x:c>
      <x:c r="AN188" s="16" t="str">
        <x:v>The client created the athlete first and could then fail during medical, contact or consent synchronization, leaving a real partial child while reporting failure</x:v>
      </x:c>
      <x:c r="AO188" s="16" t="str">
        <x:v>fix(api): create child trust data atomically</x:v>
      </x:c>
      <x:c r="AP188" s="16" t="str">
        <x:v>root/API typecheck and focused lint passed; test compile passed; app API-mode tests 12/12; Fastify family-athlete tests 27/27 including injected rollback</x:v>
      </x:c>
      <x:c r="AQ188" s="16" t="str">
        <x:v>No staging or production create was submitted. Prisma atomicity is implemented in the existing transaction and validated by API typecheck; destructive database failure injection was intentionally confined to the isolated seed repository.</x:v>
      </x:c>
    </x:row>
    <x:row r="189" ht="48" customHeight="1">
      <x:c r="A189" s="18" t="str">
        <x:v>QA-004</x:v>
      </x:c>
      <x:c r="B189" s="16" t="str">
        <x:v>UI-FLOW-ASYNC-LOCATORS</x:v>
      </x:c>
      <x:c r="C189" s="16" t="str">
        <x:v>Cross-role async control detection</x:v>
      </x:c>
      <x:c r="D189" s="16" t="str">
        <x:v>coach; parent; assigned guardian; athlete; club admin</x:v>
      </x:c>
      <x:c r="E189" s="16" t="str">
        <x:v>scripts/ui-flow-checks-50.mjs</x:v>
      </x:c>
      <x:c r="F189" s="16" t="str">
        <x:v>100-flow responsive audit suite</x:v>
      </x:c>
      <x:c r="G189" s="16" t="str">
        <x:v>asynchronously rendered required controls</x:v>
      </x:c>
      <x:c r="H189" s="16" t="str">
        <x:v>iPhone 16 Pro responsive browser viewport</x:v>
      </x:c>
      <x:c r="I189" s="16" t="str">
        <x:v>local Expo web bundle backed by staging API</x:v>
      </x:c>
      <x:c r="J189" s="16" t="str">
        <x:v>100 configured non-destructive role flows</x:v>
      </x:c>
      <x:c r="K189" s="16" t="str">
        <x:v>Authenticated seeded role accounts and linked staging dataset</x:v>
      </x:c>
      <x:c r="L189" s="16" t="str">
        <x:v>1</x:v>
      </x:c>
      <x:c r="M189" s="16" t="str">
        <x:v>initial 100-flow run; full 40-flow coach retest</x:v>
      </x:c>
      <x:c r="N189" s="16" t="str">
        <x:v>Navigate each flow and resolve required controls after asynchronous route data renders</x:v>
      </x:c>
      <x:c r="O189" s="16" t="str">
        <x:v>A visible required control is found within the bounded wait and the configured assertion or safe action runs</x:v>
      </x:c>
      <x:c r="P189" s="16" t="str">
        <x:v>The one-shot locator fabricated five missing-control failures; screenshots showed each target; bounded polling produced a clean 40/40 coach retest and 100/100 reconciled suite</x:v>
      </x:c>
      <x:c r="Q189" s="16" t="str">
        <x:v>Browser-observed role-scoped requests</x:v>
      </x:c>
      <x:c r="R189" s="16" t="str">
        <x:v>No failed request caused the five findings; no product mutation was submitted</x:v>
      </x:c>
      <x:c r="S189" s="16" t="str"/>
      <x:c r="T189" s="16" t="str"/>
      <x:c r="U189" s="16" t="str">
        <x:v>No database mutation executed</x:v>
      </x:c>
      <x:c r="V189" s="16" t="str">
        <x:v>Not directly exercised by this harness fix</x:v>
      </x:c>
      <x:c r="W189" s="16" t="str">
        <x:v>No mutation and no product audit event expected</x:v>
      </x:c>
      <x:c r="X189" s="16" t="str"/>
      <x:c r="Y189" s="16" t="str">
        <x:v>Sentry issue reads remain blocked by HTTP 403; runner reported no runtime exception after the fix</x:v>
      </x:c>
      <x:c r="Z189" s="16" t="str">
        <x:v>coach; all roles consuming the shared runner</x:v>
      </x:c>
      <x:c r="AA189" s="16" t="str">
        <x:v>Coach 40/40 passed after fix; reconciled cross-role suite is 100/100</x:v>
      </x:c>
      <x:c r="AB189" s="16" t="str">
        <x:v>not applicable; QA infrastructure</x:v>
      </x:c>
      <x:c r="AC189" s="16" t="str">
        <x:v>not applicable; QA infrastructure</x:v>
      </x:c>
      <x:c r="AD189" s="16" t="str">
        <x:v>not a product UI defect</x:v>
      </x:c>
      <x:c r="AE189" s="16" t="str">
        <x:v>not a product copy defect</x:v>
      </x:c>
      <x:c r="AF189" s="16" t="str">
        <x:v>not a product copy defect</x:v>
      </x:c>
      <x:c r="AG189" s="16" t="str">
        <x:v>Responsive harness only; native interaction remains blocked by host DevToolsSecurity</x:v>
      </x:c>
      <x:c r="AH189" s="16" t="str">
        <x:v>not applicable; audit infrastructure</x:v>
      </x:c>
      <x:c r="AI189" s="16" t="str">
        <x:v>Failure screenshots were inspected to classify the defect</x:v>
      </x:c>
      <x:c r="AJ189" s="16" t="str">
        <x:v>Role and accessible-name locators now tolerate bounded async rendering</x:v>
      </x:c>
      <x:c r="AK189" s="16" t="str">
        <x:v>fixed</x:v>
      </x:c>
      <x:c r="AL189" s="16" t="str">
        <x:v>medium</x:v>
      </x:c>
      <x:c r="AM189" s="16" t="str">
        <x:v>reviews/ios-native-audit/runtime/2026-07-31/report.qa-locator-timing.json | reviews/ios-native-audit/runtime/2026-07-31/report.route-reconciliation-100.json | reviews/ios-native-audit/runtime/2026-07-31/route-reconciliation-100/coach__coach_add_member_to_squad.png | reviews/ios-native-audit/runtime/2026-07-31/route-reconciliation-100/coach__coach_schedule_location_modal_actions.png | reviews/ios-native-audit/runtime/2026-07-31/route-reconciliation-100/coach__coach_earnings_payment_instructions.png | reviews/ios-native-audit/runtime/2026-07-31/route-reconciliation-100/coach__coach_verification_identity.png | reviews/ios-native-audit/runtime/2026-07-31/route-reconciliation-100/coach__coach_verification_credentials.png</x:v>
      </x:c>
      <x:c r="AN189" s="16" t="str">
        <x:v>The responsive audit runner checked required controls once before async route data finished rendering and falsely classified five working coach controls as high product failures</x:v>
      </x:c>
      <x:c r="AO189" s="16" t="str">
        <x:v>fix(qa): wait for async flow controls</x:v>
      </x:c>
      <x:c r="AP189" s="16" t="str">
        <x:v>node --check, Prettier and ESLint passed; coach 40/40 passed; reconciled cross-role suite 100/100</x:v>
      </x:c>
      <x:c r="AQ189" s="16" t="str">
        <x:v>No pending route row was promoted by inference. The 29 flows added since the prior 71-flow baseline target Add Child and verification routes that already have stronger dedicated rows.</x:v>
      </x:c>
    </x:row>
    <x:row r="190" ht="48" customHeight="1">
      <x:c r="A190" s="18" t="str">
        <x:v>UI-023</x:v>
      </x:c>
      <x:c r="B190" s="16" t="str">
        <x:v>VERIFICATION-ID-CHOICES</x:v>
      </x:c>
      <x:c r="C190" s="16" t="str">
        <x:v>Photo ID choice layout</x:v>
      </x:c>
      <x:c r="D190" s="16" t="str">
        <x:v>coach</x:v>
      </x:c>
      <x:c r="E190" s="16" t="str">
        <x:v>/verification/id</x:v>
      </x:c>
      <x:c r="F190" s="16" t="str">
        <x:v>Photo ID</x:v>
      </x:c>
      <x:c r="G190" s="16" t="str">
        <x:v>unselected choices; Passport selected; document action revealed</x:v>
      </x:c>
      <x:c r="H190" s="16" t="str">
        <x:v>iPhone 16 Pro responsive browser viewport</x:v>
      </x:c>
      <x:c r="I190" s="16" t="str">
        <x:v>local Expo web bundle backed by staging API</x:v>
      </x:c>
      <x:c r="J190" s="16" t="str">
        <x:v>Direct /verification/id</x:v>
      </x:c>
      <x:c r="K190" s="16" t="str">
        <x:v>Authenticated coach with verification status available</x:v>
      </x:c>
      <x:c r="L190" s="16" t="str">
        <x:v>1</x:v>
      </x:c>
      <x:c r="M190" s="16" t="str">
        <x:v>default ID choices and selected Passport state</x:v>
      </x:c>
      <x:c r="N190" s="16" t="str">
        <x:v>Open Photo ID, inspect all choice rows, select Passport and assert the document action remains separated from Requirements</x:v>
      </x:c>
      <x:c r="O190" s="16" t="str">
        <x:v>Each label and radio remains visually distinct at 390px; selection reveals Choose document without colliding with the next section</x:v>
      </x:c>
      <x:c r="P190" s="16" t="str">
        <x:v>Redundant choice icons were removed; all three labels have clear radio spacing; Passport selection revealed Choose document and the 16px minimum geometry assertion passed</x:v>
      </x:c>
      <x:c r="Q190" s="16" t="str">
        <x:v>GET /v1/coaches/:coachId/verification-status</x:v>
      </x:c>
      <x:c r="R190" s="16" t="str">
        <x:v>Verification profile completed 5/5 with no failed request finding</x:v>
      </x:c>
      <x:c r="S190" s="16" t="str"/>
      <x:c r="T190" s="16" t="str"/>
      <x:c r="U190" s="16" t="str">
        <x:v>No database mutation executed</x:v>
      </x:c>
      <x:c r="V190" s="16" t="str">
        <x:v>Not re-queried in this visual slice; existing Fastify authority remained in place</x:v>
      </x:c>
      <x:c r="W190" s="16" t="str">
        <x:v>Not reconciled in this visual slice; no document mutation was submitted</x:v>
      </x:c>
      <x:c r="X190" s="16" t="str"/>
      <x:c r="Y190" s="16" t="str">
        <x:v>Sentry issue reads remain blocked by HTTP 403; runner reported no runtime exception</x:v>
      </x:c>
      <x:c r="Z190" s="16" t="str">
        <x:v>coach</x:v>
      </x:c>
      <x:c r="AA190" s="16" t="str">
        <x:v>All five coach verification flows passed after the layout change</x:v>
      </x:c>
      <x:c r="AB190" s="16" t="str">
        <x:v>passed</x:v>
      </x:c>
      <x:c r="AC190" s="16" t="str">
        <x:v>passed</x:v>
      </x:c>
      <x:c r="AD190" s="16" t="str">
        <x:v>removed decorative icons that repeated the option labels</x:v>
      </x:c>
      <x:c r="AE190" s="16" t="str">
        <x:v>passed after deleting redundant decoration</x:v>
      </x:c>
      <x:c r="AF190" s="16" t="str">
        <x:v>unchanged direct labels</x:v>
      </x:c>
      <x:c r="AG190" s="16" t="str">
        <x:v>Shared React Native surface passed responsive runtime; native interaction remains blocked by host DevToolsSecurity</x:v>
      </x:c>
      <x:c r="AH190" s="16" t="str">
        <x:v>coach identity evidence</x:v>
      </x:c>
      <x:c r="AI190" s="16" t="str">
        <x:v>passed at 390px with 0 horizontal overflow and measured section spacing</x:v>
      </x:c>
      <x:c r="AJ190" s="16" t="str">
        <x:v>Named radio controls retain selected state; 0 nested buttons; native VoiceOver remains unverified</x:v>
      </x:c>
      <x:c r="AK190" s="16" t="str">
        <x:v>fixed</x:v>
      </x:c>
      <x:c r="AL190" s="16" t="str">
        <x:v>medium</x:v>
      </x:c>
      <x:c r="AM190" s="16" t="str">
        <x:v>reviews/ios-native-audit/runtime/2026-07-31/verification-id-geometry/report.json | reviews/ios-native-audit/runtime/2026-07-31/verification-id-geometry/coach__coach_verification_identity.png | app/verification/id.tsx | hooks/use-id-verification.ts | scripts/ui-flow-checks-50.mjs</x:v>
      </x:c>
      <x:c r="AN190" s="16" t="str">
        <x:v>Decorative ID-type icons consumed the row width and left the National ID card label crowded against its radio control at 390px</x:v>
      </x:c>
      <x:c r="AO190" s="16" t="str">
        <x:v>fix(ui): simplify photo ID choices</x:v>
      </x:c>
      <x:c r="AP190" s="16" t="str">
        <x:v>root typecheck and test compile passed; focused test lint and formatting passed; two warmed coach verification profiles passed 5/5; final geometry assertion passed; React Doctor found no changed verification-file diagnostic</x:v>
      </x:c>
      <x:c r="AQ190" s="16" t="str">
        <x:v>No file was selected or uploaded. The first post-hot-reload run was not accepted: it captured three controls after their assertions and one truthful DBS skeleton; both warmed reruns passed. React Doctor scored the concurrently dirty tree 83/100 and named only unrelated booking and group-session files.</x:v>
      </x:c>
    </x:row>
    <x:row r="191" ht="48" customHeight="1">
      <x:c r="A191" s="18" t="str">
        <x:v>UI-024</x:v>
      </x:c>
      <x:c r="B191" s="16" t="str">
        <x:v>ACCOUNT-SETTINGS-LAYOUT-TRUTH</x:v>
      </x:c>
      <x:c r="C191" s="16" t="str">
        <x:v>Account settings compact layout and truthful metadata</x:v>
      </x:c>
      <x:c r="D191" s="16" t="str">
        <x:v>all authenticated roles</x:v>
      </x:c>
      <x:c r="E191" s="16" t="str">
        <x:v>/settings/account</x:v>
      </x:c>
      <x:c r="F191" s="16" t="str">
        <x:v>Account</x:v>
      </x:c>
      <x:c r="G191" s="16" t="str">
        <x:v>ready; long email; missing createdAt</x:v>
      </x:c>
      <x:c r="H191" s="16" t="str">
        <x:v>iPhone 16 Pro responsive browser viewport</x:v>
      </x:c>
      <x:c r="I191" s="16" t="str">
        <x:v>local Expo web bundle backed by staging API</x:v>
      </x:c>
      <x:c r="J191" s="16" t="str">
        <x:v>Direct /settings/account after coach login</x:v>
      </x:c>
      <x:c r="K191" s="16" t="str">
        <x:v>Authenticated staging coach with a long account email</x:v>
      </x:c>
      <x:c r="L191" s="16" t="str">
        <x:v>1</x:v>
      </x:c>
      <x:c r="M191" s="16" t="str">
        <x:v>long email and unavailable membership date</x:v>
      </x:c>
      <x:c r="N191" s="16" t="str">
        <x:v>Open Account and inspect contact rows and account metadata</x:v>
      </x:c>
      <x:c r="O191" s="16" t="str">
        <x:v>Email and labels remain readable at 390px; missing metadata is disclosed; user copy describes outcomes only</x:v>
      </x:c>
      <x:c r="P191" s="16" t="str">
        <x:v>Email moved under its label; shared values are bounded to two lines; missing createdAt shows Not available; internal build/API language was removed</x:v>
      </x:c>
      <x:c r="Q191" s="16" t="str">
        <x:v>Existing account settings reads only</x:v>
      </x:c>
      <x:c r="R191" s="16" t="str">
        <x:v>Authenticated replay completed with no failed-request finding; no save or closure mutation submitted</x:v>
      </x:c>
      <x:c r="S191" s="16" t="str"/>
      <x:c r="T191" s="16" t="str">
        <x:v>User</x:v>
      </x:c>
      <x:c r="U191" s="16" t="str">
        <x:v>No database mutation executed</x:v>
      </x:c>
      <x:c r="V191" s="16" t="str">
        <x:v>Not re-queried in this visual slice; existing API authority remained in place</x:v>
      </x:c>
      <x:c r="W191" s="16" t="str">
        <x:v>No mutation and no new audit event expected</x:v>
      </x:c>
      <x:c r="X191" s="16" t="str"/>
      <x:c r="Y191" s="16" t="str">
        <x:v>blocked: current Sentry token returns HTTP 403 for issue reads</x:v>
      </x:c>
      <x:c r="Z191" s="16" t="str">
        <x:v>all authenticated roles using SettingsRow</x:v>
      </x:c>
      <x:c r="AA191" s="16" t="str">
        <x:v>Coach replay passed; shared row constraints apply to every role</x:v>
      </x:c>
      <x:c r="AB191" s="16" t="str">
        <x:v>passed</x:v>
      </x:c>
      <x:c r="AC191" s="16" t="str">
        <x:v>passed</x:v>
      </x:c>
      <x:c r="AD191" s="16" t="str">
        <x:v>removed fabricated fallback state and internal runtime explanation</x:v>
      </x:c>
      <x:c r="AE191" s="16" t="str">
        <x:v>passed after removing build/API phrasing</x:v>
      </x:c>
      <x:c r="AF191" s="16" t="str">
        <x:v>passed</x:v>
      </x:c>
      <x:c r="AG191" s="16" t="str">
        <x:v>Shared React Native surface passed responsive runtime; native interaction remains blocked by host DevToolsSecurity</x:v>
      </x:c>
      <x:c r="AH191" s="16" t="str">
        <x:v>account utility supporting the football product</x:v>
      </x:c>
      <x:c r="AI191" s="16" t="str">
        <x:v>passed at 390px with no label collapse or horizontal overflow</x:v>
      </x:c>
      <x:c r="AJ191" s="16" t="str">
        <x:v>Rows announce label and value; existing labelled controls retained; native VoiceOver remains unverified</x:v>
      </x:c>
      <x:c r="AK191" s="16" t="str">
        <x:v>fixed</x:v>
      </x:c>
      <x:c r="AL191" s="16" t="str">
        <x:v>medium</x:v>
      </x:c>
      <x:c r="AM191" s="16" t="str">
        <x:v>reviews/ios-native-audit/runtime/2026-07-31/settings-account-layout-final-2/report.json | reviews/ios-native-audit/runtime/2026-07-31/settings-account-layout-final-2/coach__coach_settings_account.png | app/settings/account.tsx | components/settings/settings-row-base.tsx</x:v>
      </x:c>
      <x:c r="AN191" s="16" t="str">
        <x:v>The email value consumed the row width and collapsed Email into one-letter lines; missing createdAt fabricated a membership date; footer exposed build/API implementation language</x:v>
      </x:c>
      <x:c r="AO191" s="16" t="str">
        <x:v>fix(ui): make account settings truthful</x:v>
      </x:c>
      <x:c r="AP191" s="16" t="str">
        <x:v>root typecheck, Prettier and focused ESLint passed; authenticated account replay passed 1/1; screenshot manually inspected</x:v>
      </x:c>
      <x:c r="AQ191" s="16" t="str">
        <x:v>An earlier replay rendered Sign in at the expected URL and was rejected despite a clean scanner result; the harness now requires the real screen heading before accepting a settings route.</x:v>
      </x:c>
    </x:row>
    <x:row r="192" ht="48" customHeight="1">
      <x:c r="A192" s="18" t="str">
        <x:v>QA-005</x:v>
      </x:c>
      <x:c r="B192" s="16" t="str">
        <x:v>SETTINGS-AUTHENTICATED-CONTENT</x:v>
      </x:c>
      <x:c r="C192" s="16" t="str">
        <x:v>Protected settings route identity assertions</x:v>
      </x:c>
      <x:c r="D192" s="16" t="str">
        <x:v>coach; reusable for authenticated roles</x:v>
      </x:c>
      <x:c r="E192" s="16" t="str">
        <x:v>11 app/settings routes</x:v>
      </x:c>
      <x:c r="F192" s="16" t="str">
        <x:v>Settings route audit profile</x:v>
      </x:c>
      <x:c r="G192" s="16" t="str">
        <x:v>authenticated content; expired or missing session shell</x:v>
      </x:c>
      <x:c r="H192" s="16" t="str">
        <x:v>iPhone 16 Pro responsive browser viewport</x:v>
      </x:c>
      <x:c r="I192" s="16" t="str">
        <x:v>local Expo web bundle backed by staging API</x:v>
      </x:c>
      <x:c r="J192" s="16" t="str">
        <x:v>Direct protected routes after role preflight</x:v>
      </x:c>
      <x:c r="K192" s="16" t="str">
        <x:v>Staging role credentials and settings-routes profile</x:v>
      </x:c>
      <x:c r="L192" s="16" t="str">
        <x:v>1</x:v>
      </x:c>
      <x:c r="M192" s="16" t="str">
        <x:v>valid content; sign-in shell at expected URL; legal copy containing fake</x:v>
      </x:c>
      <x:c r="N192" s="16" t="str">
        <x:v>Navigate each exact path and require its real screen heading before accepting route metrics</x:v>
      </x:c>
      <x:c r="O192" s="16" t="str">
        <x:v>A route passes only when authenticated product content renders; legal prose is not mistaken for fixture copy</x:v>
      </x:c>
      <x:c r="P192" s="16" t="str">
        <x:v>The first clean result was rejected after screenshot review showed Sign in; all 11 settings flows now require their route heading; the broad bare-fake detector was narrowed</x:v>
      </x:c>
      <x:c r="Q192" s="16" t="str">
        <x:v>Browser-observed authenticated settings requests</x:v>
      </x:c>
      <x:c r="R192" s="16" t="str">
        <x:v>No product mutation submitted; final Account replay completed after a successful signed-in preflight</x:v>
      </x:c>
      <x:c r="S192" s="16" t="str"/>
      <x:c r="T192" s="16" t="str"/>
      <x:c r="U192" s="16" t="str">
        <x:v>No database mutation executed</x:v>
      </x:c>
      <x:c r="V192" s="16" t="str">
        <x:v>Not directly exercised by this QA harness change</x:v>
      </x:c>
      <x:c r="W192" s="16" t="str">
        <x:v>No mutation and no product audit event expected</x:v>
      </x:c>
      <x:c r="X192" s="16" t="str"/>
      <x:c r="Y192" s="16" t="str">
        <x:v>Sentry issue reads remain blocked by HTTP 403; no runtime exception in accepted replay</x:v>
      </x:c>
      <x:c r="Z192" s="16" t="str">
        <x:v>all authenticated roles consuming the runner</x:v>
      </x:c>
      <x:c r="AA192" s="16" t="str">
        <x:v>Account false pass is now impossible; settings profile carries explicit identity assertions on all 11 routes</x:v>
      </x:c>
      <x:c r="AB192" s="16" t="str">
        <x:v>not applicable; QA infrastructure</x:v>
      </x:c>
      <x:c r="AC192" s="16" t="str">
        <x:v>not applicable; QA infrastructure</x:v>
      </x:c>
      <x:c r="AD192" s="16" t="str">
        <x:v>not a product UI defect</x:v>
      </x:c>
      <x:c r="AE192" s="16" t="str">
        <x:v>legal use of fake no longer triggers the fixture detector</x:v>
      </x:c>
      <x:c r="AF192" s="16" t="str">
        <x:v>not applicable; QA infrastructure</x:v>
      </x:c>
      <x:c r="AG192" s="16" t="str">
        <x:v>Responsive harness only; native interaction remains blocked by host DevToolsSecurity</x:v>
      </x:c>
      <x:c r="AH192" s="16" t="str">
        <x:v>not applicable; audit infrastructure</x:v>
      </x:c>
      <x:c r="AI192" s="16" t="str">
        <x:v>Screenshots remain mandatory evidence and exposed the false pass</x:v>
      </x:c>
      <x:c r="AJ192" s="16" t="str">
        <x:v>Assertions use visible product headings; screen-specific semantic checks remain separate</x:v>
      </x:c>
      <x:c r="AK192" s="16" t="str">
        <x:v>fixed</x:v>
      </x:c>
      <x:c r="AL192" s="16" t="str">
        <x:v>high</x:v>
      </x:c>
      <x:c r="AM192" s="16" t="str">
        <x:v>reviews/ios-native-audit/runtime/2026-07-31/settings-account-layout/coach__coach_settings_account.png | reviews/ios-native-audit/runtime/2026-07-31/settings-account-layout-final-2/report.json | scripts/ui-flow-checks-50.mjs</x:v>
      </x:c>
      <x:c r="AN192" s="16" t="str">
        <x:v>The route runner could accept a protected URL as clean while the page rendered Sign in because it checked URL and generic metrics but not authenticated screen identity</x:v>
      </x:c>
      <x:c r="AO192" s="16" t="str">
        <x:v>fix(ui): make account settings truthful</x:v>
      </x:c>
      <x:c r="AP192" s="16" t="str">
        <x:v>node --check, Prettier and ESLint passed; accepted authenticated Account replay passed 1/1 with heading assertion</x:v>
      </x:c>
      <x:c r="AQ192" s="16" t="str">
        <x:v>The rejected run is retained as evidence. Terms legal copy remains unchanged; the generic fixture detector no longer treats every legitimate use of the word fake as demo data.</x:v>
      </x:c>
    </x:row>
    <x:row r="193" ht="48" customHeight="1">
      <x:c r="A193" s="18" t="str">
        <x:v>UI-025</x:v>
      </x:c>
      <x:c r="B193" s="16" t="str">
        <x:v>SETTINGS-STATE-SIMPLIFICATION</x:v>
      </x:c>
      <x:c r="C193" s="16" t="str">
        <x:v>Blocked and notification settings simplification</x:v>
      </x:c>
      <x:c r="D193" s="16" t="str">
        <x:v>all authenticated roles</x:v>
      </x:c>
      <x:c r="E193" s="16" t="str">
        <x:v>/settings/blocked-users | /settings/notifications | /settings/notifications/preferences</x:v>
      </x:c>
      <x:c r="F193" s="16" t="str">
        <x:v>Blocked Users | Notification Preferences</x:v>
      </x:c>
      <x:c r="G193" s="16" t="str">
        <x:v>empty blocked list; quiet hours disabled; notification channels loaded</x:v>
      </x:c>
      <x:c r="H193" s="16" t="str">
        <x:v>iPhone 16 Pro responsive browser viewport</x:v>
      </x:c>
      <x:c r="I193" s="16" t="str">
        <x:v>local Expo web bundle backed by staging API</x:v>
      </x:c>
      <x:c r="J193" s="16" t="str">
        <x:v>Direct settings routes after coach login</x:v>
      </x:c>
      <x:c r="K193" s="16" t="str">
        <x:v>Authenticated staging coach with no blocked users and notification preferences</x:v>
      </x:c>
      <x:c r="L193" s="16" t="str">
        <x:v>1</x:v>
      </x:c>
      <x:c r="M193" s="16" t="str">
        <x:v>empty state and both notification route aliases</x:v>
      </x:c>
      <x:c r="N193" s="16" t="str">
        <x:v>Open each route and inspect hierarchy, copy, controls and accessibility labels without mutating preferences</x:v>
      </x:c>
      <x:c r="O193" s="16" t="str">
        <x:v>One concise explanation per state, no duplicate summary card or headings, and an accessible back action</x:v>
      </x:c>
      <x:c r="P193" s="16" t="str">
        <x:v>Blocked Users now shows one empty state without a zero-count summary; Quiet Hours has one title and one short behavior note; Back is explicitly labelled</x:v>
      </x:c>
      <x:c r="Q193" s="16" t="str">
        <x:v>GET /v1/blocks | GET /v1/me/notifications</x:v>
      </x:c>
      <x:c r="R193" s="16" t="str">
        <x:v>Blocked Users passed 1/1 and both notification aliases passed 2/2; no unblock or preference mutation submitted</x:v>
      </x:c>
      <x:c r="S193" s="16" t="str"/>
      <x:c r="T193" s="16" t="str">
        <x:v>UserBlock | NotificationPreference</x:v>
      </x:c>
      <x:c r="U193" s="16" t="str">
        <x:v>Read-only route replays; no database mutation executed</x:v>
      </x:c>
      <x:c r="V193" s="16" t="str">
        <x:v>Not re-queried in this visual slice; existing Fastify authority remained in place</x:v>
      </x:c>
      <x:c r="W193" s="16" t="str">
        <x:v>No mutation and no new audit event expected</x:v>
      </x:c>
      <x:c r="X193" s="16" t="str"/>
      <x:c r="Y193" s="16" t="str">
        <x:v>blocked: current Sentry token returns HTTP 403 for issue reads</x:v>
      </x:c>
      <x:c r="Z193" s="16" t="str">
        <x:v>all roles with account settings access</x:v>
      </x:c>
      <x:c r="AA193" s="16" t="str">
        <x:v>Coach runtime passed; shared screens and route alias use the same implementation</x:v>
      </x:c>
      <x:c r="AB193" s="16" t="str">
        <x:v>passed</x:v>
      </x:c>
      <x:c r="AC193" s="16" t="str">
        <x:v>passed</x:v>
      </x:c>
      <x:c r="AD193" s="16" t="str">
        <x:v>removed zero-count summary, count badge, repeated empty copy, duplicate Quiet Hours heading and recommendation</x:v>
      </x:c>
      <x:c r="AE193" s="16" t="str">
        <x:v>passed after removing explanatory stacking</x:v>
      </x:c>
      <x:c r="AF193" s="16" t="str">
        <x:v>passed</x:v>
      </x:c>
      <x:c r="AG193" s="16" t="str">
        <x:v>Shared React Native surfaces passed responsive runtime; native interaction remains blocked by host DevToolsSecurity</x:v>
      </x:c>
      <x:c r="AH193" s="16" t="str">
        <x:v>account communication and safety controls supporting the football product</x:v>
      </x:c>
      <x:c r="AI193" s="16" t="str">
        <x:v>passed at 390px; three accepted route replays had no automated layout finding</x:v>
      </x:c>
      <x:c r="AJ193" s="16" t="str">
        <x:v>Back has an explicit button label; existing switch labels retained; native VoiceOver remains unverified</x:v>
      </x:c>
      <x:c r="AK193" s="16" t="str">
        <x:v>fixed</x:v>
      </x:c>
      <x:c r="AL193" s="16" t="str">
        <x:v>medium</x:v>
      </x:c>
      <x:c r="AM193" s="16" t="str">
        <x:v>reviews/ios-native-audit/runtime/2026-07-31/settings-blocked-users-final-2/report.json | reviews/ios-native-audit/runtime/2026-07-31/settings-blocked-users-final-2/coach__coach_settings_blocked_users.png | reviews/ios-native-audit/runtime/2026-07-31/settings-notifications-final-2/report.json | reviews/ios-native-audit/runtime/2026-07-31/settings-notification-preferences-final-2/report.json</x:v>
      </x:c>
      <x:c r="AN193" s="16" t="str">
        <x:v>Blocked Users stacked an empty state, zero-count summary and repeated explainer; Notification Preferences repeated Quiet Hours in two headings and two explanation blocks</x:v>
      </x:c>
      <x:c r="AO193" s="16" t="str">
        <x:v>fix(ui): simplify empty settings states</x:v>
      </x:c>
      <x:c r="AP193" s="16" t="str">
        <x:v>focused Prettier and ESLint passed; Blocked Users 1/1 and both notification aliases 2/2 passed; screenshots manually inspected</x:v>
      </x:c>
      <x:c r="AQ193" s="16" t="str">
        <x:v>No block or notification preference was changed. Existing API ownership and notification preference persistence were traced but not mutated.</x:v>
      </x:c>
    </x:row>
    <x:row r="194" ht="48" customHeight="1">
      <x:c r="A194" s="18" t="str">
        <x:v>UI-026</x:v>
      </x:c>
      <x:c r="B194" s="16" t="str">
        <x:v>COACHING-SETTINGS-HEADER</x:v>
      </x:c>
      <x:c r="C194" s="16" t="str">
        <x:v>Coaching settings route identity and back navigation</x:v>
      </x:c>
      <x:c r="D194" s="16" t="str">
        <x:v>coach</x:v>
      </x:c>
      <x:c r="E194" s="16" t="str">
        <x:v>/settings/coaching</x:v>
      </x:c>
      <x:c r="F194" s="16" t="str">
        <x:v>Coaching Settings</x:v>
      </x:c>
      <x:c r="G194" s="16" t="str">
        <x:v>loading; ready scheduling rules</x:v>
      </x:c>
      <x:c r="H194" s="16" t="str">
        <x:v>iPhone 16 Pro responsive browser viewport</x:v>
      </x:c>
      <x:c r="I194" s="16" t="str">
        <x:v>local Expo web bundle backed by staging API</x:v>
      </x:c>
      <x:c r="J194" s="16" t="str">
        <x:v>Direct /settings/coaching after coach login</x:v>
      </x:c>
      <x:c r="K194" s="16" t="str">
        <x:v>Authenticated coach with scheduling rules, policy and travel settings</x:v>
      </x:c>
      <x:c r="L194" s="16" t="str">
        <x:v>1</x:v>
      </x:c>
      <x:c r="M194" s="16" t="str">
        <x:v>loading skeleton and ready content</x:v>
      </x:c>
      <x:c r="N194" s="16" t="str">
        <x:v>Open Coaching Settings and verify the header, ready scheduling content and top position</x:v>
      </x:c>
      <x:c r="O194" s="16" t="str">
        <x:v>A persistent Coaching Settings header and labelled back action remain visible across loading and ready states</x:v>
      </x:c>
      <x:c r="P194" s="16" t="str">
        <x:v>Dead Stack.Screen configuration was replaced with PageHeader in both states; the ready screen opens at the top with Scheduling visible</x:v>
      </x:c>
      <x:c r="Q194" s="16" t="str">
        <x:v>GET /v1/coaches/me/scheduling-rules and existing policy/travel reads</x:v>
      </x:c>
      <x:c r="R194" s="16" t="str">
        <x:v>Authenticated ready-state replay passed 1/1; no stepper, toggle or policy mutation submitted</x:v>
      </x:c>
      <x:c r="S194" s="16" t="str"/>
      <x:c r="T194" s="16" t="str">
        <x:v>CoachSchedulingRule | CoachTravelSetting</x:v>
      </x:c>
      <x:c r="U194" s="16" t="str">
        <x:v>Read-only replay; no database mutation executed</x:v>
      </x:c>
      <x:c r="V194" s="16" t="str">
        <x:v>Not re-queried in this visual slice; existing Fastify authority remained in place</x:v>
      </x:c>
      <x:c r="W194" s="16" t="str">
        <x:v>No mutation and no new audit event expected</x:v>
      </x:c>
      <x:c r="X194" s="16" t="str"/>
      <x:c r="Y194" s="16" t="str">
        <x:v>blocked: current Sentry token returns HTTP 403 for issue reads</x:v>
      </x:c>
      <x:c r="Z194" s="16" t="str">
        <x:v>coach</x:v>
      </x:c>
      <x:c r="AA194" s="16" t="str">
        <x:v>Coach route now has a stable identity and escape path</x:v>
      </x:c>
      <x:c r="AB194" s="16" t="str">
        <x:v>passed</x:v>
      </x:c>
      <x:c r="AC194" s="16" t="str">
        <x:v>passed</x:v>
      </x:c>
      <x:c r="AD194" s="16" t="str">
        <x:v>removed dead nested Stack.Screen configuration</x:v>
      </x:c>
      <x:c r="AE194" s="16" t="str">
        <x:v>not applicable</x:v>
      </x:c>
      <x:c r="AF194" s="16" t="str">
        <x:v>passed</x:v>
      </x:c>
      <x:c r="AG194" s="16" t="str">
        <x:v>Shared React Native screen passed responsive runtime; native interaction remains blocked by host DevToolsSecurity</x:v>
      </x:c>
      <x:c r="AH194" s="16" t="str">
        <x:v>coach scheduling, cancellation and travel controls</x:v>
      </x:c>
      <x:c r="AI194" s="16" t="str">
        <x:v>passed at 390px with header and ready content visible from the top</x:v>
      </x:c>
      <x:c r="AJ194" s="16" t="str">
        <x:v>PageHeader supplies a labelled Go back button; existing stepper and toggle semantics retained; native VoiceOver remains unverified</x:v>
      </x:c>
      <x:c r="AK194" s="16" t="str">
        <x:v>fixed</x:v>
      </x:c>
      <x:c r="AL194" s="16" t="str">
        <x:v>high</x:v>
      </x:c>
      <x:c r="AM194" s="16" t="str">
        <x:v>reviews/ios-native-audit/runtime/2026-07-31/settings-coaching-scroll-diagnostic/report.json | reviews/ios-native-audit/runtime/2026-07-31/settings-coaching-scroll-diagnostic/coach__coach_settings_coaching.png | app/settings/coaching.tsx</x:v>
      </x:c>
      <x:c r="AN194" s="16" t="str">
        <x:v>Coaching relied on Stack.Screen inside a settings stack with headerShown false, so the ready route opened without a title or back control</x:v>
      </x:c>
      <x:c r="AO194" s="16" t="str">
        <x:v>fix(ui): restore coaching settings header</x:v>
      </x:c>
      <x:c r="AP194" s="16" t="str">
        <x:v>focused Prettier and ESLint plus root typecheck passed; warmed ready-state replay passed 1/1; screenshot manually inspected</x:v>
      </x:c>
      <x:c r="AQ194" s="16" t="str">
        <x:v>No coaching setting was changed. The first post-change screenshot captured a truthful loading skeleton and was not accepted as ready-state proof.</x:v>
      </x:c>
    </x:row>
    <x:row r="195" ht="48" customHeight="1">
      <x:c r="A195" s="18" t="str">
        <x:v>QA-006</x:v>
      </x:c>
      <x:c r="B195" s="16" t="str">
        <x:v>SETTINGS-READY-STATE-ASSERTIONS</x:v>
      </x:c>
      <x:c r="C195" s="16" t="str">
        <x:v>Settings ready-state and top-position assertions</x:v>
      </x:c>
      <x:c r="D195" s="16" t="str">
        <x:v>coach; reusable for authenticated roles</x:v>
      </x:c>
      <x:c r="E195" s="16" t="str">
        <x:v>11 app/settings routes</x:v>
      </x:c>
      <x:c r="F195" s="16" t="str">
        <x:v>Settings route audit profile</x:v>
      </x:c>
      <x:c r="G195" s="16" t="str">
        <x:v>loading skeleton; ready content; initial scroll position</x:v>
      </x:c>
      <x:c r="H195" s="16" t="str">
        <x:v>iPhone 16 Pro responsive browser viewport</x:v>
      </x:c>
      <x:c r="I195" s="16" t="str">
        <x:v>local Expo web bundle backed by staging API</x:v>
      </x:c>
      <x:c r="J195" s="16" t="str">
        <x:v>Direct protected settings routes after role preflight</x:v>
      </x:c>
      <x:c r="K195" s="16" t="str">
        <x:v>Staging settings fixtures and route-specific ready markers</x:v>
      </x:c>
      <x:c r="L195" s="16" t="str">
        <x:v>1</x:v>
      </x:c>
      <x:c r="M195" s="16" t="str">
        <x:v>header-only loading state versus ready route state</x:v>
      </x:c>
      <x:c r="N195" s="16" t="str">
        <x:v>Require both route heading and route-specific ready content, then assert every visible scroll container starts at zero</x:v>
      </x:c>
      <x:c r="O195" s="16" t="str">
        <x:v>A settings flow passes only after its actual content loads and the route opens at the top</x:v>
      </x:c>
      <x:c r="P195" s="16" t="str">
        <x:v>All 11 flows now carry ready markers and a scroll-top assertion; the initial Coaching skeleton was rejected and the warmed ready screen passed</x:v>
      </x:c>
      <x:c r="Q195" s="16" t="str">
        <x:v>Browser-observed authenticated settings requests</x:v>
      </x:c>
      <x:c r="R195" s="16" t="str">
        <x:v>Diagnostic and accepted Coaching runs were read-only; no product mutation submitted</x:v>
      </x:c>
      <x:c r="S195" s="16" t="str"/>
      <x:c r="T195" s="16" t="str"/>
      <x:c r="U195" s="16" t="str">
        <x:v>No database mutation executed</x:v>
      </x:c>
      <x:c r="V195" s="16" t="str">
        <x:v>Not directly exercised by this QA harness change</x:v>
      </x:c>
      <x:c r="W195" s="16" t="str">
        <x:v>No mutation and no product audit event expected</x:v>
      </x:c>
      <x:c r="X195" s="16" t="str"/>
      <x:c r="Y195" s="16" t="str">
        <x:v>Sentry issue reads remain blocked by HTTP 403; no runtime exception in accepted replay</x:v>
      </x:c>
      <x:c r="Z195" s="16" t="str">
        <x:v>all authenticated roles consuming the runner</x:v>
      </x:c>
      <x:c r="AA195" s="16" t="str">
        <x:v>Settings evidence can no longer promote a header-only loading state as a completed route</x:v>
      </x:c>
      <x:c r="AB195" s="16" t="str">
        <x:v>not applicable; QA infrastructure</x:v>
      </x:c>
      <x:c r="AC195" s="16" t="str">
        <x:v>not applicable; QA infrastructure</x:v>
      </x:c>
      <x:c r="AD195" s="16" t="str">
        <x:v>not a product UI defect</x:v>
      </x:c>
      <x:c r="AE195" s="16" t="str">
        <x:v>not applicable; QA infrastructure</x:v>
      </x:c>
      <x:c r="AF195" s="16" t="str">
        <x:v>not applicable; QA infrastructure</x:v>
      </x:c>
      <x:c r="AG195" s="16" t="str">
        <x:v>Responsive harness only; native interaction remains blocked by host DevToolsSecurity</x:v>
      </x:c>
      <x:c r="AH195" s="16" t="str">
        <x:v>not applicable; audit infrastructure</x:v>
      </x:c>
      <x:c r="AI195" s="16" t="str">
        <x:v>Ready-state screenshots now start at the top and include product content</x:v>
      </x:c>
      <x:c r="AJ195" s="16" t="str">
        <x:v>Assertions use visible headings and route content; screen-specific semantic checks remain separate</x:v>
      </x:c>
      <x:c r="AK195" s="16" t="str">
        <x:v>fixed</x:v>
      </x:c>
      <x:c r="AL195" s="16" t="str">
        <x:v>high</x:v>
      </x:c>
      <x:c r="AM195" s="16" t="str">
        <x:v>reviews/ios-native-audit/runtime/2026-07-31/settings-coaching-header-final/coach__coach_settings_coaching.png | reviews/ios-native-audit/runtime/2026-07-31/settings-coaching-scroll-diagnostic/report.json | scripts/ui-flow-checks-50.mjs</x:v>
      </x:c>
      <x:c r="AN195" s="16" t="str">
        <x:v>A settings route could pass after rendering only its header and loading skeleton, which overstated completed route coverage</x:v>
      </x:c>
      <x:c r="AO195" s="16" t="str">
        <x:v>fix(ui): restore coaching settings header</x:v>
      </x:c>
      <x:c r="AP195" s="16" t="str">
        <x:v>node --check, Prettier and ESLint passed; Coaching ready marker and scroll-top assertion passed 1/1</x:v>
      </x:c>
      <x:c r="AQ195" s="16" t="str">
        <x:v>The loading screenshot remains recorded as rejected evidence; only the warmed ready-state report is cited for UI-026.</x:v>
      </x:c>
    </x:row>
    <x:row r="196" ht="48" customHeight="1">
      <x:c r="A196" s="18" t="str">
        <x:v>UI-027</x:v>
      </x:c>
      <x:c r="B196" s="16" t="str">
        <x:v>PRIVACY-FUNCTIONAL-CONTROLS</x:v>
      </x:c>
      <x:c r="C196" s="16" t="str">
        <x:v>Privacy settings functional control boundary</x:v>
      </x:c>
      <x:c r="D196" s="16" t="str">
        <x:v>all authenticated roles</x:v>
      </x:c>
      <x:c r="E196" s="16" t="str">
        <x:v>/settings/privacy | GET/PATCH /v1/me/privacy-settings</x:v>
      </x:c>
      <x:c r="F196" s="16" t="str">
        <x:v>Privacy</x:v>
      </x:c>
      <x:c r="G196" s="16" t="str">
        <x:v>ready; functional toggles; API self authority</x:v>
      </x:c>
      <x:c r="H196" s="16" t="str">
        <x:v>iPhone 16 Pro responsive browser viewport; isolated Fastify test process</x:v>
      </x:c>
      <x:c r="I196" s="16" t="str">
        <x:v>local Expo web backed by staging API; isolated seed API</x:v>
      </x:c>
      <x:c r="J196" s="16" t="str">
        <x:v>Direct /settings/privacy after coach login</x:v>
      </x:c>
      <x:c r="K196" s="16" t="str">
        <x:v>Authenticated user privacy row; product consumer trace for every persisted field</x:v>
      </x:c>
      <x:c r="L196" s="16" t="str">
        <x:v>1</x:v>
      </x:c>
      <x:c r="M196" s="16" t="str">
        <x:v>functional profile visibility; hidden compatibility fields; forged owner payload</x:v>
      </x:c>
      <x:c r="N196" s="16" t="str">
        <x:v>Trace all nine fields to product consumers, render only enforced controls, and run isolated self-authority proof</x:v>
      </x:c>
      <x:c r="O196" s="16" t="str">
        <x:v>Only controls with real downstream effects are shown; active controls look active; owner is derived from auth and changes remain audited</x:v>
      </x:c>
      <x:c r="P196" s="16" t="str">
        <x:v>Only Public Profile and Show Location remain; seven placebo toggles and duplicate Cookie &amp; Tracking were removed; shared toggle rows no longer inherit disabled opacity</x:v>
      </x:c>
      <x:c r="Q196" s="16" t="str">
        <x:v>GET/PATCH /v1/me/privacy-settings | GET /v1/blocks</x:v>
      </x:c>
      <x:c r="R196" s="16" t="str">
        <x:v>Responsive privacy replay passed 1/1 with eight absence assertions; isolated API proof passed GET, forged-owner 400 and two self PATCH 200 cases</x:v>
      </x:c>
      <x:c r="S196" s="16" t="str">
        <x:v>isolated Fastify app.inject; no staging mutation request ID</x:v>
      </x:c>
      <x:c r="T196" s="16" t="str">
        <x:v>UserPrivacySetting | UserBlock | AuditEvent</x:v>
      </x:c>
      <x:c r="U196" s="16" t="str">
        <x:v>Isolated seed proof persisted owner and outsider self-scoped updates; staging replay was read-only</x:v>
      </x:c>
      <x:c r="V196" s="16" t="str">
        <x:v>Unchanged: product access remains behind authenticated Fastify authority; current direct staging posture tracked by SEC-004</x:v>
      </x:c>
      <x:c r="W196" s="16" t="str">
        <x:v>Isolated proof persisted privacy_settings.read SUCCESS and privacy_settings.update SUCCESS with sorted changedKeys</x:v>
      </x:c>
      <x:c r="X196" s="16" t="str"/>
      <x:c r="Y196" s="16" t="str">
        <x:v>blocked: current Sentry token returns HTTP 403 for issue reads</x:v>
      </x:c>
      <x:c r="Z196" s="16" t="str">
        <x:v>all authenticated roles</x:v>
      </x:c>
      <x:c r="AA196" s="16" t="str">
        <x:v>Shared privacy screen presents two truthful controls; API compatibility fields remain stored but hidden until consumed</x:v>
      </x:c>
      <x:c r="AB196" s="16" t="str">
        <x:v>passed</x:v>
      </x:c>
      <x:c r="AC196" s="16" t="str">
        <x:v>passed</x:v>
      </x:c>
      <x:c r="AD196" s="16" t="str">
        <x:v>removed seven placebo toggles and duplicate legal row</x:v>
      </x:c>
      <x:c r="AE196" s="16" t="str">
        <x:v>passed after removing speculative ads, partner sharing, earnings and activity controls</x:v>
      </x:c>
      <x:c r="AF196" s="16" t="str">
        <x:v>passed</x:v>
      </x:c>
      <x:c r="AG196" s="16" t="str">
        <x:v>Shared React Native surface passed responsive runtime; native interaction remains blocked by host DevToolsSecurity</x:v>
      </x:c>
      <x:c r="AH196" s="16" t="str">
        <x:v>profile discovery and location visibility for football participants</x:v>
      </x:c>
      <x:c r="AI196" s="16" t="str">
        <x:v>active switches now use normal text/icon opacity; 390px screenshot manually verified</x:v>
      </x:c>
      <x:c r="AJ196" s="16" t="str">
        <x:v>Active switches retain explicit Toggle labels; rows no longer announce false disabled styling; native VoiceOver remains unverified</x:v>
      </x:c>
      <x:c r="AK196" s="16" t="str">
        <x:v>fixed</x:v>
      </x:c>
      <x:c r="AL196" s="16" t="str">
        <x:v>high</x:v>
      </x:c>
      <x:c r="AM196" s="16" t="str">
        <x:v>reviews/ios-native-audit/runtime/2026-07-31/settings-privacy-functional-only-final/report.json | reviews/ios-native-audit/runtime/2026-07-31/settings-privacy-functional-only-final/coach__coach_settings_privacy.png | apps/api/src/modules/wave2plus/routes.test.ts | docs/architecture/service-ownership-map.md</x:v>
      </x:c>
      <x:c r="AN196" s="16" t="str">
        <x:v>Privacy exposed seven persisted settings with no product consumer, duplicated the privacy-policy destination, used internal build copy and visually disabled every active toggle row</x:v>
      </x:c>
      <x:c r="AO196" s="16" t="str">
        <x:v>fix(ui): remove placebo privacy controls</x:v>
      </x:c>
      <x:c r="AP196" s="16" t="str">
        <x:v>root typecheck and test compile passed; focused API proof 1/1; privacy route 1/1 with eight absence assertions; focused lint and formatting passed</x:v>
      </x:c>
      <x:c r="AQ196" s="16" t="str">
        <x:v>No staging privacy value was changed. Backend compatibility fields remain accepted and audited, but the product UI will not expose them until a real consumer exists.</x:v>
      </x:c>
    </x:row>
    <x:row r="197" ht="48" customHeight="1">
      <x:c r="A197" s="18" t="str">
        <x:v>UI-028</x:v>
      </x:c>
      <x:c r="B197" s="16" t="str">
        <x:v>CALENDAR-EXPORT-TRUTHFULNESS</x:v>
      </x:c>
      <x:c r="C197" s="16" t="str">
        <x:v>Calendar export functional boundary and visual simplification</x:v>
      </x:c>
      <x:c r="D197" s="16" t="str">
        <x:v>all authenticated roles</x:v>
      </x:c>
      <x:c r="E197" s="16" t="str">
        <x:v>/settings/calendar-sync | device-local calendar export preferences</x:v>
      </x:c>
      <x:c r="F197" s="16" t="str">
        <x:v>Calendar Export</x:v>
      </x:c>
      <x:c r="G197" s="16" t="str">
        <x:v>ready; functional preferences; export action</x:v>
      </x:c>
      <x:c r="H197" s="16" t="str">
        <x:v>iPhone 16 Pro responsive browser viewport; calendar service unit process</x:v>
      </x:c>
      <x:c r="I197" s="16" t="str">
        <x:v>local Expo web backed by staging API; isolated test storage</x:v>
      </x:c>
      <x:c r="J197" s="16" t="str">
        <x:v>Direct /settings/calendar-sync after coach login</x:v>
      </x:c>
      <x:c r="K197" s="16" t="str">
        <x:v>Authenticated account and default export preferences</x:v>
      </x:c>
      <x:c r="L197" s="16" t="str">
        <x:v>1</x:v>
      </x:c>
      <x:c r="M197" s="16" t="str">
        <x:v>functional ICS preferences and non-submitted export</x:v>
      </x:c>
      <x:c r="N197" s="16" t="str">
        <x:v>Trace each setting to generated ICS output, remove claims without consumers, verify compact layout, and exercise service tests</x:v>
      </x:c>
      <x:c r="O197" s="16" t="str">
        <x:v>The screen says exactly what Clubroom can do and every visible preference changes the generated file</x:v>
      </x:c>
      <x:c r="P197" s="16" t="str">
        <x:v>Only Include Location, Include Notes and Session Reminder remain; Calendar Export creates one file for bookings, sessions and club events; dead provider component deleted</x:v>
      </x:c>
      <x:c r="Q197" s="16" t="str">
        <x:v>device-local AsyncStorage preferences; export source trace to authenticated booking session and event reads</x:v>
      </x:c>
      <x:c r="R197" s="16" t="str">
        <x:v>Responsive replay passed 1/1 with four absence assertions; calendar service suite passed 24/24 including exposed preference output</x:v>
      </x:c>
      <x:c r="S197" s="16" t="str">
        <x:v>no staging request id</x:v>
      </x:c>
      <x:c r="T197" s="16" t="str">
        <x:v>AsyncStorage calendar_sync_settings_&lt;userId&gt;; server football records are read only when export is submitted</x:v>
      </x:c>
      <x:c r="U197" s="16" t="str">
        <x:v>Unit proof generated ICS content with location and notes omitted and a 30-minute alarm; route replay made no database mutation</x:v>
      </x:c>
      <x:c r="V197" s="16" t="str">
        <x:v>not applicable to local export preferences; existing server read scopes unchanged</x:v>
      </x:c>
      <x:c r="W197" s="16" t="str">
        <x:v>no audit event expected for local preference changes; no export submission</x:v>
      </x:c>
      <x:c r="X197" s="16" t="str"/>
      <x:c r="Y197" s="16" t="str">
        <x:v>blocked: current Sentry token returns HTTP 403 for issue reads</x:v>
      </x:c>
      <x:c r="Z197" s="16" t="str">
        <x:v>all authenticated roles</x:v>
      </x:c>
      <x:c r="AA197" s="16" t="str">
        <x:v>Coach runtime passed; same shared route and device-local preference contract apply across roles</x:v>
      </x:c>
      <x:c r="AB197" s="16" t="str">
        <x:v>passed</x:v>
      </x:c>
      <x:c r="AC197" s="16" t="str">
        <x:v>passed</x:v>
      </x:c>
      <x:c r="AD197" s="16" t="str">
        <x:v>deleted three placebo controls, a fabricated last-sync display, duplicate explanatory copy and an unused provider component</x:v>
      </x:c>
      <x:c r="AE197" s="16" t="str">
        <x:v>removed oversized icon-led reminder card and false integration theatre</x:v>
      </x:c>
      <x:c r="AF197" s="16" t="str">
        <x:v>passed</x:v>
      </x:c>
      <x:c r="AG197" s="16" t="str">
        <x:v>Shared React Native surface passed responsive runtime; actual iOS share sheet remains unverified because DevToolsSecurity blocks native control</x:v>
      </x:c>
      <x:c r="AH197" s="16" t="str">
        <x:v>calendar file contains upcoming bookings, coached group sessions and club events</x:v>
      </x:c>
      <x:c r="AI197" s="16" t="str">
        <x:v>compact reminder row and direct export hierarchy passed at 390px; screenshot manually inspected</x:v>
      </x:c>
      <x:c r="AJ197" s="16" t="str">
        <x:v>back, switches, reminder disclosure and export action have explicit accessible names; native VoiceOver remains unverified</x:v>
      </x:c>
      <x:c r="AK197" s="16" t="str">
        <x:v>fixed</x:v>
      </x:c>
      <x:c r="AL197" s="16" t="str">
        <x:v>high</x:v>
      </x:c>
      <x:c r="AM197" s="16" t="str">
        <x:v>reviews/ios-native-audit/runtime/2026-07-31/settings-calendar-export-final-2/report.json | reviews/ios-native-audit/runtime/2026-07-31/settings-calendar-export-final-2/coach__coach_settings_calendar_sync.png | __tests__/calendar/calendar-service.test.ts | hooks/use-calendar-sync.ts | services/calendar-service.ts</x:v>
      </x:c>
      <x:c r="AN197" s="16" t="str">
        <x:v>The app presented fake automatic sync and provider selection, visually disabled controls that actually govern ICS output, and inflated one picker into a large decorative card</x:v>
      </x:c>
      <x:c r="AO197" s="16" t="str">
        <x:v>fix(ui): make calendar export truthful</x:v>
      </x:c>
      <x:c r="AP197" s="16" t="str">
        <x:v>focused formatting and lint, root typecheck, 24/24 calendar tests and ready-state route 1/1 passed; screenshot manually inspected</x:v>
      </x:c>
      <x:c r="AQ197" s="16" t="str">
        <x:v>No export action or staging mutation was submitted. Compatibility fields remain stored but are not exposed as product capabilities.</x:v>
      </x:c>
    </x:row>
    <x:row r="198" ht="48" customHeight="1">
      <x:c r="A198" s="18" t="str">
        <x:v>UI-029</x:v>
      </x:c>
      <x:c r="B198" s="16" t="str">
        <x:v>NOTIFICATION-HEADER-CONSISTENCY</x:v>
      </x:c>
      <x:c r="C198" s="16" t="str">
        <x:v>Notification settings route identity and safe back navigation</x:v>
      </x:c>
      <x:c r="D198" s="16" t="str">
        <x:v>all authenticated roles</x:v>
      </x:c>
      <x:c r="E198" s="16" t="str">
        <x:v>/settings/notifications | /settings/notifications/preferences</x:v>
      </x:c>
      <x:c r="F198" s="16" t="str">
        <x:v>Notifications</x:v>
      </x:c>
      <x:c r="G198" s="16" t="str">
        <x:v>ready preferences; direct route; route alias</x:v>
      </x:c>
      <x:c r="H198" s="16" t="str">
        <x:v>iPhone 16 Pro responsive browser viewport</x:v>
      </x:c>
      <x:c r="I198" s="16" t="str">
        <x:v>local Expo web bundle backed by staging API</x:v>
      </x:c>
      <x:c r="J198" s="16" t="str">
        <x:v>Direct navigation to both notification routes</x:v>
      </x:c>
      <x:c r="K198" s="16" t="str">
        <x:v>Authenticated account with persisted notification preferences</x:v>
      </x:c>
      <x:c r="L198" s="16" t="str">
        <x:v>1</x:v>
      </x:c>
      <x:c r="M198" s="16" t="str">
        <x:v>both aliases and no-history fallback</x:v>
      </x:c>
      <x:c r="N198" s="16" t="str">
        <x:v>Replace the custom header with PageHeader, keep the title complete at 390px, and require the heading and Go back control inside the viewport</x:v>
      </x:c>
      <x:c r="O198" s="16" t="str">
        <x:v>Both routes share one concise title and a labelled back action that has a Settings fallback</x:v>
      </x:c>
      <x:c r="P198" s="16" t="str">
        <x:v>Custom header code was deleted; title shortened to Notifications after the first shared-header screenshot exposed truncation; both aliases passed and screenshots match</x:v>
      </x:c>
      <x:c r="Q198" s="16" t="str">
        <x:v>GET /v1/me/notifications</x:v>
      </x:c>
      <x:c r="R198" s="16" t="str">
        <x:v>Read-only authenticated preference loads passed; no toggle quiet-hours type or mute mutation submitted</x:v>
      </x:c>
      <x:c r="S198" s="16" t="str"/>
      <x:c r="T198" s="16" t="str">
        <x:v>NotificationPreference | QuietHours | MutedSource</x:v>
      </x:c>
      <x:c r="U198" s="16" t="str">
        <x:v>No database mutation executed</x:v>
      </x:c>
      <x:c r="V198" s="16" t="str">
        <x:v>Existing authenticated self authority remained unchanged; direct RLS not re-run</x:v>
      </x:c>
      <x:c r="W198" s="16" t="str">
        <x:v>No mutation and no notification.preferences.update audit event expected</x:v>
      </x:c>
      <x:c r="X198" s="16" t="str"/>
      <x:c r="Y198" s="16" t="str">
        <x:v>blocked: current Sentry token returns HTTP 403 for issue reads</x:v>
      </x:c>
      <x:c r="Z198" s="16" t="str">
        <x:v>all authenticated roles</x:v>
      </x:c>
      <x:c r="AA198" s="16" t="str">
        <x:v>Both coach route aliases passed; same screen and header behavior apply across authenticated roles</x:v>
      </x:c>
      <x:c r="AB198" s="16" t="str">
        <x:v>passed</x:v>
      </x:c>
      <x:c r="AC198" s="16" t="str">
        <x:v>passed</x:v>
      </x:c>
      <x:c r="AD198" s="16" t="str">
        <x:v>deleted bespoke header imports component and history-only behavior</x:v>
      </x:c>
      <x:c r="AE198" s="16" t="str">
        <x:v>removed a truncated overlong route title instead of shrinking typography</x:v>
      </x:c>
      <x:c r="AF198" s="16" t="str">
        <x:v>passed</x:v>
      </x:c>
      <x:c r="AG198" s="16" t="str">
        <x:v>Shared React Native surface passed responsive runtime; native interaction remains blocked by host DevToolsSecurity</x:v>
      </x:c>
      <x:c r="AH198" s="16" t="str">
        <x:v>notification control for football bookings messages schedules and account trust</x:v>
      </x:c>
      <x:c r="AI198" s="16" t="str">
        <x:v>complete Notifications title and balanced shared header manually verified at 390px</x:v>
      </x:c>
      <x:c r="AJ198" s="16" t="str">
        <x:v>PageHeader supplies Go back and a direct-entry fallback; native VoiceOver remains unverified</x:v>
      </x:c>
      <x:c r="AK198" s="16" t="str">
        <x:v>fixed</x:v>
      </x:c>
      <x:c r="AL198" s="16" t="str">
        <x:v>high</x:v>
      </x:c>
      <x:c r="AM198" s="16" t="str">
        <x:v>reviews/ios-native-audit/runtime/2026-07-31/settings-notification-header-final/report.json | reviews/ios-native-audit/runtime/2026-07-31/settings-notification-header-final/coach__coach_settings_notifications.png | reviews/ios-native-audit/runtime/2026-07-31/settings-notification-header-final/coach__coach_settings_notification_preferences.png</x:v>
      </x:c>
      <x:c r="AN198" s="16" t="str">
        <x:v>The custom header labelled the control only Back, assumed navigation history, bypassed the shared component and then exposed title truncation when first standardized</x:v>
      </x:c>
      <x:c r="AO198" s="16" t="str">
        <x:v>fix(ui): standardize notification settings header</x:v>
      </x:c>
      <x:c r="AP198" s="16" t="str">
        <x:v>focused formatting, ESLint and route script syntax passed; accepted chunk passed 5/5 with both aliases; screenshots manually inspected</x:v>
      </x:c>
      <x:c r="AQ198" s="16" t="str">
        <x:v>No notification setting or staging row was changed</x:v>
      </x:c>
    </x:row>
    <x:row r="199" ht="48" customHeight="1">
      <x:c r="A199" s="18" t="str">
        <x:v>QA-007</x:v>
      </x:c>
      <x:c r="B199" s="16" t="str">
        <x:v>SETTINGS-HEADER-VIEWPORT-ASSERTIONS</x:v>
      </x:c>
      <x:c r="C199" s="16" t="str">
        <x:v>Settings heading and back-control viewport assertions</x:v>
      </x:c>
      <x:c r="D199" s="16" t="str">
        <x:v>coach; reusable for authenticated roles</x:v>
      </x:c>
      <x:c r="E199" s="16" t="str">
        <x:v>11 app/settings routes</x:v>
      </x:c>
      <x:c r="F199" s="16" t="str">
        <x:v>Settings route audit profile</x:v>
      </x:c>
      <x:c r="G199" s="16" t="str">
        <x:v>ready content; exact heading; back action bounds</x:v>
      </x:c>
      <x:c r="H199" s="16" t="str">
        <x:v>iPhone 16 Pro responsive browser viewport</x:v>
      </x:c>
      <x:c r="I199" s="16" t="str">
        <x:v>local Expo web bundle backed by staging API</x:v>
      </x:c>
      <x:c r="J199" s="16" t="str">
        <x:v>Direct protected settings routes after role preflight</x:v>
      </x:c>
      <x:c r="K199" s="16" t="str">
        <x:v>Staging settings fixtures and route-specific headings</x:v>
      </x:c>
      <x:c r="L199" s="16" t="str">
        <x:v>1</x:v>
      </x:c>
      <x:c r="M199" s="16" t="str">
        <x:v>current route header versus retained or off-screen UI</x:v>
      </x:c>
      <x:c r="N199" s="16" t="str">
        <x:v>For every settings flow, locate the exact heading and Go back control and require both bounding boxes to fit inside the visual viewport</x:v>
      </x:c>
      <x:c r="O199" s="16" t="str">
        <x:v>A route cannot pass on content alone when its identity or escape control is missing or off-screen</x:v>
      </x:c>
      <x:c r="P199" s="16" t="str">
        <x:v>The diagnostic run rejected both notification aliases because their custom control was not named Go back; after standardization all 11 settings routes passed the new bounds checks</x:v>
      </x:c>
      <x:c r="Q199" s="16" t="str">
        <x:v>Browser-observed authenticated settings reads</x:v>
      </x:c>
      <x:c r="R199" s="16" t="str">
        <x:v>Diagnostic and accepted runs were read-only; no product mutation submitted</x:v>
      </x:c>
      <x:c r="S199" s="16" t="str"/>
      <x:c r="T199" s="16" t="str"/>
      <x:c r="U199" s="16" t="str">
        <x:v>No database mutation executed</x:v>
      </x:c>
      <x:c r="V199" s="16" t="str">
        <x:v>Not directly exercised by this QA harness change</x:v>
      </x:c>
      <x:c r="W199" s="16" t="str">
        <x:v>No mutation and no product audit event expected</x:v>
      </x:c>
      <x:c r="X199" s="16" t="str"/>
      <x:c r="Y199" s="16" t="str">
        <x:v>Sentry issue reads remain blocked by HTTP 403; accepted run had no runtime exception</x:v>
      </x:c>
      <x:c r="Z199" s="16" t="str">
        <x:v>all authenticated roles consuming the runner</x:v>
      </x:c>
      <x:c r="AA199" s="16" t="str">
        <x:v>All settings route evidence now requires a bounded heading and shared accessible back action</x:v>
      </x:c>
      <x:c r="AB199" s="16" t="str">
        <x:v>not applicable; QA infrastructure</x:v>
      </x:c>
      <x:c r="AC199" s="16" t="str">
        <x:v>not applicable; QA infrastructure</x:v>
      </x:c>
      <x:c r="AD199" s="16" t="str">
        <x:v>not a product UI defect</x:v>
      </x:c>
      <x:c r="AE199" s="16" t="str">
        <x:v>not applicable; QA infrastructure</x:v>
      </x:c>
      <x:c r="AF199" s="16" t="str">
        <x:v>not applicable; QA infrastructure</x:v>
      </x:c>
      <x:c r="AG199" s="16" t="str">
        <x:v>Responsive harness only; native interaction remains blocked by host DevToolsSecurity</x:v>
      </x:c>
      <x:c r="AH199" s="16" t="str">
        <x:v>not applicable; audit infrastructure</x:v>
      </x:c>
      <x:c r="AI199" s="16" t="str">
        <x:v>Full 11-route profile passed target bounds before manual review caught and corrected title truncation</x:v>
      </x:c>
      <x:c r="AJ199" s="16" t="str">
        <x:v>Assertions target exact visible route text and accessible button names; native semantic-tree proof remains separate</x:v>
      </x:c>
      <x:c r="AK199" s="16" t="str">
        <x:v>fixed</x:v>
      </x:c>
      <x:c r="AL199" s="16" t="str">
        <x:v>high</x:v>
      </x:c>
      <x:c r="AM199" s="16" t="str">
        <x:v>reviews/ios-native-audit/runtime/2026-07-31/settings-header-bounds-diagnostic/report.json | reviews/ios-native-audit/runtime/2026-07-31/settings-routes-ready-final-2/report.json | scripts/ui-flow-checks-50.mjs</x:v>
      </x:c>
      <x:c r="AN199" s="16" t="str">
        <x:v>The runner could previously promote a ready settings route without proving its title and escape control were inside the viewport</x:v>
      </x:c>
      <x:c r="AO199" s="16" t="str">
        <x:v>fix(ui): standardize notification settings header</x:v>
      </x:c>
      <x:c r="AP199" s="16" t="str">
        <x:v>node --check, formatting and ESLint passed; diagnostic rejected two aliases; subsequent full settings profile passed 11/11</x:v>
      </x:c>
      <x:c r="AQ199" s="16" t="str">
        <x:v>The manual screenshot review remained authoritative and caught title ellipsis beyond what bounding boxes alone prove</x:v>
      </x:c>
    </x:row>
    <x:row r="200" ht="48" customHeight="1">
      <x:c r="A200" s="18" t="str">
        <x:v>UI-030</x:v>
      </x:c>
      <x:c r="B200" s="16" t="str">
        <x:v>TRAVEL-RADIUS-TRUTHFULNESS</x:v>
      </x:c>
      <x:c r="C200" s="16" t="str">
        <x:v>Travel radius simplification and save integrity</x:v>
      </x:c>
      <x:c r="D200" s="16" t="str">
        <x:v>coach; families searching coaches</x:v>
      </x:c>
      <x:c r="E200" s="16" t="str">
        <x:v>/settings/travel-radius | GET/PATCH /v1/coaches/me/travel-settings | coach discovery</x:v>
      </x:c>
      <x:c r="F200" s="16" t="str">
        <x:v>Travel Radius</x:v>
      </x:c>
      <x:c r="G200" s="16" t="str">
        <x:v>ready; rapid edits; injected PATCH failure</x:v>
      </x:c>
      <x:c r="H200" s="16" t="str">
        <x:v>iPhone 16 Pro responsive browser viewport; isolated app/API test processes</x:v>
      </x:c>
      <x:c r="I200" s="16" t="str">
        <x:v>local Expo web backed by staging reads; intercepted PATCH; isolated seed and db-fixture API</x:v>
      </x:c>
      <x:c r="J200" s="16" t="str">
        <x:v>Direct /settings/travel-radius after coach login</x:v>
      </x:c>
      <x:c r="K200" s="16" t="str">
        <x:v>Authenticated coach; 10-mile persisted radius; in-person enabled; remote disabled</x:v>
      </x:c>
      <x:c r="L200" s="16" t="str">
        <x:v>1</x:v>
      </x:c>
      <x:c r="M200" s="16" t="str">
        <x:v>ready read; coalesced draft; server failure rollback</x:v>
      </x:c>
      <x:c r="N200" s="16" t="str">
        <x:v>Trace every control to discovery, remove non-functional copy and decoration, coalesce rapid edits, inject a 503, and verify server truth is restored</x:v>
      </x:c>
      <x:c r="O200" s="16" t="str">
        <x:v>Every visible control changes real discovery behavior; failed saves are visible and cannot leave an unsaved optimistic value presented as truth</x:v>
      </x:c>
      <x:c r="P200" s="16" t="str">
        <x:v>Two compact sections remain; rapid field changes produce one minimal patch; forced 503 showed a banner and rolled 11 mi back to 10 mi</x:v>
      </x:c>
      <x:c r="Q200" s="16" t="str">
        <x:v>GET/PATCH /v1/coaches/me/travel-settings</x:v>
      </x:c>
      <x:c r="R200" s="16" t="str">
        <x:v>Ready read passed; isolated Fastify proof passed validation, non-coach denial, update and reread; failure profile intercepted PATCH before upstream</x:v>
      </x:c>
      <x:c r="S200" s="16" t="str">
        <x:v>No staging mutation request; isolated app.inject only</x:v>
      </x:c>
      <x:c r="T200" s="16" t="str">
        <x:v>CoachProfile | AuditEvent</x:v>
      </x:c>
      <x:c r="U200" s="16" t="str">
        <x:v>Seed and db-fixture proofs persisted owned updates; responsive ready and failure replays changed no staging row</x:v>
      </x:c>
      <x:c r="V200" s="16" t="str">
        <x:v>Backend derives coach from auth and requires an active CoachProfile; direct staging RLS was not re-run</x:v>
      </x:c>
      <x:c r="W200" s="16" t="str">
        <x:v>Isolated proof persisted coach_travel_settings.read SUCCESS, update SUCCESS and two update DENY events</x:v>
      </x:c>
      <x:c r="X200" s="16" t="str"/>
      <x:c r="Y200" s="16" t="str">
        <x:v>blocked: current Sentry token returns HTTP 403; accepted profiles had no unexpected runtime issue</x:v>
      </x:c>
      <x:c r="Z200" s="16" t="str">
        <x:v>coach; parents; guardians; athletes</x:v>
      </x:c>
      <x:c r="AA200" s="16" t="str">
        <x:v>Coach controls remain self-owned; family and athlete discovery consumes radius and format flags through the public offering projection</x:v>
      </x:c>
      <x:c r="AB200" s="16" t="str">
        <x:v>passed</x:v>
      </x:c>
      <x:c r="AC200" s="16" t="str">
        <x:v>passed</x:v>
      </x:c>
      <x:c r="AD200" s="16" t="str">
        <x:v>deleted repeated Travel Radius title, separate location card, suggested range, decorative checks and five helper lines</x:v>
      </x:c>
      <x:c r="AE200" s="16" t="str">
        <x:v>passed after replacing demo-like coaching copy and giant cards with terse operational rows</x:v>
      </x:c>
      <x:c r="AF200" s="16" t="str">
        <x:v>passed</x:v>
      </x:c>
      <x:c r="AG200" s="16" t="str">
        <x:v>Shared React Native surface passed responsive runtime; deterministic native tapping remains blocked by host DevToolsSecurity</x:v>
      </x:c>
      <x:c r="AH200" s="16" t="str">
        <x:v>local and remote paid football coaching discovery</x:v>
      </x:c>
      <x:c r="AI200" s="16" t="str">
        <x:v>final ready screenshot manually accepted at 390px with 0 overflow and 0 nested buttons</x:v>
      </x:c>
      <x:c r="AJ200" s="16" t="str">
        <x:v>Radius buttons, switches and back control expose explicit names and disabled states; native VoiceOver remains unverified</x:v>
      </x:c>
      <x:c r="AK200" s="16" t="str">
        <x:v>fixed</x:v>
      </x:c>
      <x:c r="AL200" s="16" t="str">
        <x:v>high</x:v>
      </x:c>
      <x:c r="AM200" s="16" t="str">
        <x:v>reviews/ios-native-audit/runtime/2026-07-31/settings-travel-radius-final/report.json | reviews/ios-native-audit/runtime/2026-07-31/settings-travel-radius-final/coach__coach_settings_travel_radius.png | reviews/ios-native-audit/runtime/2026-07-31/settings-travel-radius-save-failure-final-3/report.json | reviews/ios-native-audit/runtime/2026-07-31/settings-travel-radius-save-failure-final-3/coach__coach_settings_travel_radius_save_failure.png | __tests__/services/coach-travel-service-api-mode.test.ts | apps/api/src/modules/coach-club/travel-settings.routes.test.ts | services/discover-service.ts</x:v>
      </x:c>
      <x:c r="AN200" s="16" t="str">
        <x:v>The screen looked generated and the debounced hook could drop a preceding rapid edit; any failed save silently left an optimistic value on screen</x:v>
      </x:c>
      <x:c r="AO200" s="16" t="str">
        <x:v>fix(ui): simplify travel radius settings</x:v>
      </x:c>
      <x:c r="AP200" s="16" t="str">
        <x:v>service 3/3; Fastify 2/2; ready UI 1/1; injected-failure UI 1/1</x:v>
      </x:c>
      <x:c r="AQ200" s="16" t="str">
        <x:v>The failure PATCH was fulfilled locally with 503 and never reached staging. No destructive or production test ran.</x:v>
      </x:c>
    </x:row>
    <x:row r="201" ht="48" customHeight="1">
      <x:c r="A201" s="18" t="str">
        <x:v>QA-008</x:v>
      </x:c>
      <x:c r="B201" s="16" t="str">
        <x:v>TRAVEL-RADIUS-SAVE-FAILURE</x:v>
      </x:c>
      <x:c r="C201" s="16" t="str">
        <x:v>Deterministic settings mutation failure proof</x:v>
      </x:c>
      <x:c r="D201" s="16" t="str">
        <x:v>coach; reusable QA infrastructure</x:v>
      </x:c>
      <x:c r="E201" s="16" t="str">
        <x:v>scripts/ui-flow-checks-50.mjs | /settings/travel-radius</x:v>
      </x:c>
      <x:c r="F201" s="16" t="str">
        <x:v>Travel radius save failure profile</x:v>
      </x:c>
      <x:c r="G201" s="16" t="str">
        <x:v>injected HTTP 503; expected console response; rollback</x:v>
      </x:c>
      <x:c r="H201" s="16" t="str">
        <x:v>iPhone 16 Pro responsive browser viewport</x:v>
      </x:c>
      <x:c r="I201" s="16" t="str">
        <x:v>local Expo web backed by staging GET; Playwright-intercepted PATCH</x:v>
      </x:c>
      <x:c r="J201" s="16" t="str">
        <x:v>Direct protected route after coach preflight</x:v>
      </x:c>
      <x:c r="K201" s="16" t="str">
        <x:v>Staging fixture reports 10 mi and the authenticated ready screen is loaded</x:v>
      </x:c>
      <x:c r="L201" s="16" t="str">
        <x:v>1</x:v>
      </x:c>
      <x:c r="M201" s="16" t="str">
        <x:v>intentional API failure</x:v>
      </x:c>
      <x:c r="N201" s="16" t="str">
        <x:v>Register a PATCH-only 503 route, press Increase in-person radius, require the exact error, require 10 mi restored, require 11 mi absent, and reconcile only the declared response/console errors</x:v>
      </x:c>
      <x:c r="O201" s="16" t="str">
        <x:v>The harness proves a mutation failure without writing staging and still fails on every undeclared network or console problem</x:v>
      </x:c>
      <x:c r="P201" s="16" t="str">
        <x:v>The injected response and Chromium console line were observed as declared evidence; UI assertions passed and the profile finished 1/1 severity none</x:v>
      </x:c>
      <x:c r="Q201" s="16" t="str">
        <x:v>intercepted PATCH /v1/coaches/me/travel-settings</x:v>
      </x:c>
      <x:c r="R201" s="16" t="str">
        <x:v>503 Travel settings were not saved; upstream API received no PATCH</x:v>
      </x:c>
      <x:c r="S201" s="16" t="str">
        <x:v>not applicable; request intercepted before API</x:v>
      </x:c>
      <x:c r="T201" s="16" t="str">
        <x:v>CoachProfile</x:v>
      </x:c>
      <x:c r="U201" s="16" t="str">
        <x:v>No database mutation</x:v>
      </x:c>
      <x:c r="V201" s="16" t="str">
        <x:v>Not exercised because the mutation was intentionally intercepted</x:v>
      </x:c>
      <x:c r="W201" s="16" t="str">
        <x:v>No update audit event expected because the API was not reached</x:v>
      </x:c>
      <x:c r="X201" s="16" t="str"/>
      <x:c r="Y201" s="16" t="str">
        <x:v>Sentry reads remain blocked by HTTP 403; no unexpected runtime issue</x:v>
      </x:c>
      <x:c r="Z201" s="16" t="str">
        <x:v>QA flows that opt into explicit expected errors</x:v>
      </x:c>
      <x:c r="AA201" s="16" t="str">
        <x:v>Normal profiles remain strict; only the dedicated failure flow allows its exact declared errors</x:v>
      </x:c>
      <x:c r="AB201" s="16" t="str">
        <x:v>not applicable; QA infrastructure</x:v>
      </x:c>
      <x:c r="AC201" s="16" t="str">
        <x:v>not applicable; QA infrastructure</x:v>
      </x:c>
      <x:c r="AD201" s="16" t="str">
        <x:v>not applicable</x:v>
      </x:c>
      <x:c r="AE201" s="16" t="str">
        <x:v>not applicable</x:v>
      </x:c>
      <x:c r="AF201" s="16" t="str">
        <x:v>not applicable</x:v>
      </x:c>
      <x:c r="AG201" s="16" t="str">
        <x:v>Responsive failure harness only; native interaction remains blocked by host DevToolsSecurity</x:v>
      </x:c>
      <x:c r="AH201" s="16" t="str">
        <x:v>protects coach discovery settings integrity</x:v>
      </x:c>
      <x:c r="AI201" s="16" t="str">
        <x:v>failure banner and rolled-back value captured; clean ready screenshot remains separate evidence</x:v>
      </x:c>
      <x:c r="AJ201" s="16" t="str">
        <x:v>Interaction targets the named Increase in-person radius button; native semantic proof remains separate</x:v>
      </x:c>
      <x:c r="AK201" s="16" t="str">
        <x:v>fixed</x:v>
      </x:c>
      <x:c r="AL201" s="16" t="str">
        <x:v>high</x:v>
      </x:c>
      <x:c r="AM201" s="16" t="str">
        <x:v>reviews/ios-native-audit/runtime/2026-07-31/settings-travel-radius-save-failure-final-3/report.json | reviews/ios-native-audit/runtime/2026-07-31/settings-travel-radius-save-failure-final-3/coach__coach_settings_travel_radius_save_failure.png | scripts/ui-flow-checks-50.mjs</x:v>
      </x:c>
      <x:c r="AN201" s="16" t="str">
        <x:v>The audit suite had no deterministic way to prove mutation error handling without either mutating staging or treating the intentional HTTP error as a product finding</x:v>
      </x:c>
      <x:c r="AO201" s="16" t="str">
        <x:v>fix(ui): simplify travel radius settings</x:v>
      </x:c>
      <x:c r="AP201" s="16" t="str">
        <x:v>dedicated failure profile passed 1/1 with both declared errors observed and no unexpected finding</x:v>
      </x:c>
      <x:c r="AQ201" s="16" t="str">
        <x:v>Expected-error reconciliation is opt-in per flow and requires each exact declared error to occur.</x:v>
      </x:c>
    </x:row>
    <x:row r="202" ht="48" customHeight="1">
      <x:c r="A202" s="18" t="str">
        <x:v>UI-031</x:v>
      </x:c>
      <x:c r="B202" s="16" t="str">
        <x:v>HELP-SUPPORT-TRUTHFULNESS</x:v>
      </x:c>
      <x:c r="C202" s="16" t="str">
        <x:v>Help and support outcome simplification</x:v>
      </x:c>
      <x:c r="D202" s="16" t="str">
        <x:v>all authenticated roles</x:v>
      </x:c>
      <x:c r="E202" s="16" t="str">
        <x:v>/settings/help | booking detail report flow | mailto support and feedback</x:v>
      </x:c>
      <x:c r="F202" s="16" t="str">
        <x:v>Help &amp; Support</x:v>
      </x:c>
      <x:c r="G202" s="16" t="str">
        <x:v>ready; feedback cancel; FAQ open-close-open</x:v>
      </x:c>
      <x:c r="H202" s="16" t="str">
        <x:v>iPhone 16 Pro responsive browser viewport</x:v>
      </x:c>
      <x:c r="I202" s="16" t="str">
        <x:v>local Expo web bundle backed by staging API</x:v>
      </x:c>
      <x:c r="J202" s="16" t="str">
        <x:v>Direct /settings/help after coach preflight</x:v>
      </x:c>
      <x:c r="K202" s="16" t="str">
        <x:v>Authenticated account; support and feedback handlers configured</x:v>
      </x:c>
      <x:c r="L202" s="16" t="str">
        <x:v>1</x:v>
      </x:c>
      <x:c r="M202" s="16" t="str">
        <x:v>outcome ownership and UI truth</x:v>
      </x:c>
      <x:c r="N202" s="16" t="str">
        <x:v>Trace every control; keep booking incidents inside booking context; remove actions without a complete outcome; tighten copy and exercise reversible interactions</x:v>
      </x:c>
      <x:c r="O202" s="16" t="str">
        <x:v>Help contains one support outcome, one feedback outcome and compact truthful answers; no control implies missing context or install capability</x:v>
      </x:c>
      <x:c r="P202" s="16" t="str">
        <x:v>Booking-report navigation and Share.share were removed from Help; support and feedback remain distinct; chooser cancel and FAQ state transitions passed</x:v>
      </x:c>
      <x:c r="Q202" s="16" t="str">
        <x:v>mailto URLs built locally; booking incident API remains owned by the booking report screen</x:v>
      </x:c>
      <x:c r="R202" s="16" t="str">
        <x:v>No support email or safeguarding incident submitted; no staging HTTP mutation</x:v>
      </x:c>
      <x:c r="S202" s="16" t="str"/>
      <x:c r="T202" s="16" t="str">
        <x:v>none</x:v>
      </x:c>
      <x:c r="U202" s="16" t="str">
        <x:v>No database mutation</x:v>
      </x:c>
      <x:c r="V202" s="16" t="str">
        <x:v>Existing booking incident authority remains unchanged and was not invoked from Help</x:v>
      </x:c>
      <x:c r="W202" s="16" t="str">
        <x:v>No audit event expected because every exercised interaction was client-only and reversible</x:v>
      </x:c>
      <x:c r="X202" s="16" t="str"/>
      <x:c r="Y202" s="16" t="str">
        <x:v>Sentry reads blocked by HTTP 403; accepted browser replay had zero unexpected runtime findings</x:v>
      </x:c>
      <x:c r="Z202" s="16" t="str">
        <x:v>coach; parent; guardian; athlete; admin</x:v>
      </x:c>
      <x:c r="AA202" s="16" t="str">
        <x:v>Shared Help behavior applies to authenticated roles; session incident reporting remains available from booking context</x:v>
      </x:c>
      <x:c r="AB202" s="16" t="str">
        <x:v>passed</x:v>
      </x:c>
      <x:c r="AC202" s="16" t="str">
        <x:v>passed</x:v>
      </x:c>
      <x:c r="AD202" s="16" t="str">
        <x:v>deleted four redundant or misleading surfaces and the hard-coded debug line</x:v>
      </x:c>
      <x:c r="AE202" s="16" t="str">
        <x:v>deleted generic promotion, fake product breadth and verbose FAQ card stacking</x:v>
      </x:c>
      <x:c r="AF202" s="16" t="str">
        <x:v>passed</x:v>
      </x:c>
      <x:c r="AG202" s="16" t="str">
        <x:v>Responsive shared React Native UI passed; native semantic interaction remains blocked by DevToolsSecurity</x:v>
      </x:c>
      <x:c r="AH202" s="16" t="str">
        <x:v>retains football-specific booking, coach, payment and availability guidance</x:v>
      </x:c>
      <x:c r="AI202" s="16" t="str">
        <x:v>manual 390px review accepted the denser hierarchy and concise one-line support subtitles</x:v>
      </x:c>
      <x:c r="AJ202" s="16" t="str">
        <x:v>FAQ controls carry accessibility label, role, expanded state and hint; Settings rows and PageHeader retain accessible outcomes</x:v>
      </x:c>
      <x:c r="AK202" s="16" t="str">
        <x:v>fixed</x:v>
      </x:c>
      <x:c r="AL202" s="16" t="str">
        <x:v>high</x:v>
      </x:c>
      <x:c r="AM202" s="16" t="str">
        <x:v>reviews/ios-native-audit/runtime/2026-07-31/settings-help-simplified-final-6/report.json | reviews/ios-native-audit/runtime/2026-07-31/settings-help-simplified-final-6/coach__coach_settings_help.png | scripts/ui-flow-checks-50.mjs | app/settings/help.tsx</x:v>
      </x:c>
      <x:c r="AN202" s="16" t="str">
        <x:v>Help mixed support, context-free incident reporting, feedback and a share action that had no install link, then repeated support details below</x:v>
      </x:c>
      <x:c r="AO202" s="16" t="str">
        <x:v>fix(ui): simplify help and support</x:v>
      </x:c>
      <x:c r="AP202" s="16" t="str">
        <x:v>Feedback chooser open/cancel and FAQ open/close/open passed with exact locators; old labels were asserted absent</x:v>
      </x:c>
      <x:c r="AQ202" s="16" t="str">
        <x:v>The failed diagnostic exposed a partial-name Cancel locator collision; the harness now supports exact button matching. Production and staging data remained untouched.</x:v>
      </x:c>
    </x:row>
    <x:row r="203" ht="48" customHeight="1">
      <x:c r="A203" s="18" t="str">
        <x:v>UI-032</x:v>
      </x:c>
      <x:c r="B203" s="16" t="str">
        <x:v>LEGAL-ROUTE-NAVIGATION</x:v>
      </x:c>
      <x:c r="C203" s="16" t="str">
        <x:v>Legal route header and direct-entry navigation</x:v>
      </x:c>
      <x:c r="D203" s="16" t="str">
        <x:v>all authenticated roles</x:v>
      </x:c>
      <x:c r="E203" s="16" t="str">
        <x:v>components/settings/legal-document-screen.tsx | /settings/privacy-policy | /settings/terms</x:v>
      </x:c>
      <x:c r="F203" s="16" t="str">
        <x:v>Privacy Policy | Terms</x:v>
      </x:c>
      <x:c r="G203" s="16" t="str">
        <x:v>static direct entry and responsive headers</x:v>
      </x:c>
      <x:c r="H203" s="16" t="str">
        <x:v>iPhone 16 Pro responsive browser viewport</x:v>
      </x:c>
      <x:c r="I203" s="16" t="str">
        <x:v>local Expo web bundle backed by staging API</x:v>
      </x:c>
      <x:c r="J203" s="16" t="str">
        <x:v>Direct protected routes after coach preflight</x:v>
      </x:c>
      <x:c r="K203" s="16" t="str">
        <x:v>Authenticated staging coach; no guaranteed navigation history</x:v>
      </x:c>
      <x:c r="L203" s="16" t="str">
        <x:v>1</x:v>
      </x:c>
      <x:c r="M203" s="16" t="str">
        <x:v>history and no-history navigation</x:v>
      </x:c>
      <x:c r="N203" s="16" t="str">
        <x:v>Replace the history-only back handler with canGoBack plus Settings fallback; shorten the clipped Terms route title; replay both routes</x:v>
      </x:c>
      <x:c r="O203" s="16" t="str">
        <x:v>Both legal routes retain a bounded heading and an escape path when opened directly</x:v>
      </x:c>
      <x:c r="P203" s="16" t="str">
        <x:v>Privacy Policy and Terms passed separately; Terms now uses a compact title; source test proves back-or-replace behavior</x:v>
      </x:c>
      <x:c r="Q203" s="16" t="str">
        <x:v>none</x:v>
      </x:c>
      <x:c r="R203" s="16" t="str">
        <x:v>Read-only static rendering</x:v>
      </x:c>
      <x:c r="S203" s="16" t="str"/>
      <x:c r="T203" s="16" t="str">
        <x:v>none</x:v>
      </x:c>
      <x:c r="U203" s="16" t="str">
        <x:v>No database mutation</x:v>
      </x:c>
      <x:c r="V203" s="16" t="str">
        <x:v>not applicable</x:v>
      </x:c>
      <x:c r="W203" s="16" t="str">
        <x:v>No audit event expected</x:v>
      </x:c>
      <x:c r="X203" s="16" t="str"/>
      <x:c r="Y203" s="16" t="str">
        <x:v>Sentry reads blocked by HTTP 403; accepted replays had zero unexpected runtime findings</x:v>
      </x:c>
      <x:c r="Z203" s="16" t="str">
        <x:v>coach; parent; guardian; athlete; admin</x:v>
      </x:c>
      <x:c r="AA203" s="16" t="str">
        <x:v>Shared legal screen fix applies across roles</x:v>
      </x:c>
      <x:c r="AB203" s="16" t="str">
        <x:v>passed</x:v>
      </x:c>
      <x:c r="AC203" s="16" t="str">
        <x:v>passed</x:v>
      </x:c>
      <x:c r="AD203" s="16" t="str">
        <x:v>removed an overlong clipped route title</x:v>
      </x:c>
      <x:c r="AE203" s="16" t="str">
        <x:v>passed after choosing the shortest standard label</x:v>
      </x:c>
      <x:c r="AF203" s="16" t="str">
        <x:v>passed</x:v>
      </x:c>
      <x:c r="AG203" s="16" t="str">
        <x:v>Shared React Native route passed responsive browser runtime; native semantics remain blocked by DevToolsSecurity</x:v>
      </x:c>
      <x:c r="AH203" s="16" t="str">
        <x:v>legal surfaces for a football coaching marketplace</x:v>
      </x:c>
      <x:c r="AI203" s="16" t="str">
        <x:v>both final 390px screenshots manually accepted; 0 overflow and 0 nested buttons</x:v>
      </x:c>
      <x:c r="AJ203" s="16" t="str">
        <x:v>shared PageHeader supplies Go back; source contract covers direct-entry fallback</x:v>
      </x:c>
      <x:c r="AK203" s="16" t="str">
        <x:v>fixed</x:v>
      </x:c>
      <x:c r="AL203" s="16" t="str">
        <x:v>high</x:v>
      </x:c>
      <x:c r="AM203" s="16" t="str">
        <x:v>reviews/ios-native-audit/runtime/2026-07-31/settings-legal-privacy-final/report.json | reviews/ios-native-audit/runtime/2026-07-31/settings-legal-terms-final/report.json | __tests__/hooks/legal-document-screen-navigation.test.ts</x:v>
      </x:c>
      <x:c r="AN203" s="16" t="str">
        <x:v>Terms of Service exceeded the shared header geometry, and both legal routes called router.back without a no-history fallback</x:v>
      </x:c>
      <x:c r="AO203" s="16" t="str">
        <x:v>fix(ui): harden legal route navigation</x:v>
      </x:c>
      <x:c r="AP203" s="16" t="str">
        <x:v>2/2 focused tests, root typecheck/test compile, UI-action lint and 2/2 route replays passed</x:v>
      </x:c>
      <x:c r="AQ203" s="16" t="str">
        <x:v>This fixes route mechanics only; it does not approve the legal drafts</x:v>
      </x:c>
    </x:row>
    <x:row r="204" ht="48" customHeight="1">
      <x:c r="A204" s="18" t="str">
        <x:v>UI-034</x:v>
      </x:c>
      <x:c r="B204" s="16" t="str">
        <x:v>ACCOUNT-CONTROLS-SIMPLIFICATION</x:v>
      </x:c>
      <x:c r="C204" s="16" t="str">
        <x:v>Account settings hierarchy and truthful controls</x:v>
      </x:c>
      <x:c r="D204" s="16" t="str">
        <x:v>all authenticated roles</x:v>
      </x:c>
      <x:c r="E204" s="16" t="str">
        <x:v>/settings/account</x:v>
      </x:c>
      <x:c r="F204" s="16" t="str">
        <x:v>Account</x:v>
      </x:c>
      <x:c r="G204" s="16" t="str">
        <x:v>ready; edit; rejected save; prompt open and cancel; rejected closure submission</x:v>
      </x:c>
      <x:c r="H204" s="16" t="str">
        <x:v>iPhone 16 Pro responsive browser viewport</x:v>
      </x:c>
      <x:c r="I204" s="16" t="str">
        <x:v>local Expo web backed by authenticated reads and intercepted mutations</x:v>
      </x:c>
      <x:c r="J204" s="16" t="str">
        <x:v>Direct protected route</x:v>
      </x:c>
      <x:c r="K204" s="16" t="str">
        <x:v>Signed-in account</x:v>
      </x:c>
      <x:c r="L204" s="16" t="str">
        <x:v>1</x:v>
      </x:c>
      <x:c r="M204" s="16" t="str">
        <x:v>contact security support and account access</x:v>
      </x:c>
      <x:c r="N204" s="16" t="str">
        <x:v>Review every label value action error and confirmation at 390px</x:v>
      </x:c>
      <x:c r="O204" s="16" t="str">
        <x:v>One compact hierarchy; one intent per action; no editable identity claim without a complete verification outcome</x:v>
      </x:c>
      <x:c r="P204" s="16" t="str">
        <x:v>Four direct sections remain; email is read-only; phone is editable; password reset uses the real service contract; support ref and lifecycle actions are concise; failures preserve an actionable state</x:v>
      </x:c>
      <x:c r="Q204" s="16" t="str">
        <x:v>PATCH /v1/auth/me | POST /v1/auth/forgot-password | POST /v1/me/data-deletion-requests</x:v>
      </x:c>
      <x:c r="R204" s="16" t="str">
        <x:v>Intentional phone and closure 503 responses plus reset 204 were fulfilled locally and exactly reconciled</x:v>
      </x:c>
      <x:c r="S204" s="16" t="str"/>
      <x:c r="T204" s="16" t="str">
        <x:v>User | DataDeletionRequest</x:v>
      </x:c>
      <x:c r="U204" s="16" t="str">
        <x:v>No staging mutation</x:v>
      </x:c>
      <x:c r="V204" s="16" t="str">
        <x:v>Existing self authority unchanged</x:v>
      </x:c>
      <x:c r="W204" s="16" t="str">
        <x:v>No audit expected for intercepted writes or cancelled prompts</x:v>
      </x:c>
      <x:c r="X204" s="16" t="str"/>
      <x:c r="Y204" s="16" t="str">
        <x:v>Sentry issue reads remain blocked by HTTP 403; no unexpected responsive runtime issue</x:v>
      </x:c>
      <x:c r="Z204" s="16" t="str">
        <x:v>all authenticated roles</x:v>
      </x:c>
      <x:c r="AA204" s="16" t="str">
        <x:v>Shared account screen applies the same self-owned controls to every signed-in role</x:v>
      </x:c>
      <x:c r="AB204" s="16" t="str">
        <x:v>passed</x:v>
      </x:c>
      <x:c r="AC204" s="16" t="str">
        <x:v>passed</x:v>
      </x:c>
      <x:c r="AD204" s="16" t="str">
        <x:v>deleted separate email and phone cards account-type row unavailable membership date giant honesty card warning footer and password support-email detour</x:v>
      </x:c>
      <x:c r="AE204" s="16" t="str">
        <x:v>passed after deleting tutorial and implementation phrasing</x:v>
      </x:c>
      <x:c r="AF204" s="16" t="str">
        <x:v>passed</x:v>
      </x:c>
      <x:c r="AG204" s="16" t="str">
        <x:v>Shared React Native surface passed responsive runtime; native automation remains host-blocked</x:v>
      </x:c>
      <x:c r="AH204" s="16" t="str">
        <x:v>account security for football coaches families and athletes</x:v>
      </x:c>
      <x:c r="AI204" s="16" t="str">
        <x:v>Manual screenshot review accepted spacing hierarchy and untruncated labels</x:v>
      </x:c>
      <x:c r="AJ204" s="16" t="str">
        <x:v>Read-only email and labelled phone input save cancel reset pause closure and back controls; busy actions expose disabled state</x:v>
      </x:c>
      <x:c r="AK204" s="16" t="str">
        <x:v>fixed</x:v>
      </x:c>
      <x:c r="AL204" s="16" t="str">
        <x:v>high</x:v>
      </x:c>
      <x:c r="AM204" s="16" t="str">
        <x:v>reviews/ios-native-audit/runtime/2026-07-31/settings-account-ready-final-2/report.json | reviews/ios-native-audit/runtime/2026-07-31/settings-account-ready-final-2/coach__coach_settings_account.png | reviews/ios-native-audit/runtime/2026-07-31/settings-account-interactions-final/report.json | app/settings/account.tsx | hooks/use-account-settings.ts</x:v>
      </x:c>
      <x:c r="AN204" s="16" t="str">
        <x:v>The screen looked generated and exposed an incomplete email mutation while real password reset was hidden behind a support email; redundant cards and unavailable metadata buried the real actions</x:v>
      </x:c>
      <x:c r="AO204" s="16" t="str">
        <x:v>fix(settings): simplify account controls</x:v>
      </x:c>
      <x:c r="AP204" s="16" t="str">
        <x:v>Ready and interaction profiles each passed 1/1 severity none; screenshot manually inspected; root typecheck formatting ESLint and UI-action lint passed</x:v>
      </x:c>
      <x:c r="AQ204" s="16" t="str">
        <x:v>The screen still cannot receive deterministic native tap or VoiceOver proof until host DevToolsSecurity is enabled.</x:v>
      </x:c>
    </x:row>
    <x:row r="205" ht="48" customHeight="1">
      <x:c r="A205" s="18" t="str">
        <x:v>API-005</x:v>
      </x:c>
      <x:c r="B205" s="16" t="str">
        <x:v>ACCOUNT-SELF-SERVICE-CONTRACT</x:v>
      </x:c>
      <x:c r="C205" s="16" t="str">
        <x:v>Account profile password reset and closure authority</x:v>
      </x:c>
      <x:c r="D205" s="16" t="str">
        <x:v>authenticated self; public reset request</x:v>
      </x:c>
      <x:c r="E205" s="16" t="str">
        <x:v>PATCH /v1/auth/me | POST /v1/auth/forgot-password | GET/POST /v1/me/data-deletion-requests</x:v>
      </x:c>
      <x:c r="F205" s="16" t="str">
        <x:v>Fastify account authority</x:v>
      </x:c>
      <x:c r="G205" s="16" t="str">
        <x:v>phone update; rejected client request; password delivery; closure read create duplicate</x:v>
      </x:c>
      <x:c r="H205" s="16" t="str">
        <x:v>compiled service tests; isolated Fastify app.inject</x:v>
      </x:c>
      <x:c r="I205" s="16" t="str">
        <x:v>NODE_ENV=test seed backend plus local intercepted responsive requests</x:v>
      </x:c>
      <x:c r="J205" s="16" t="str">
        <x:v>Account settings actions</x:v>
      </x:c>
      <x:c r="K205" s="16" t="str">
        <x:v>Seed users password delivery webhook and deletion fixtures</x:v>
      </x:c>
      <x:c r="L205" s="16" t="str">
        <x:v>1</x:v>
      </x:c>
      <x:c r="M205" s="16" t="str">
        <x:v>success failure idempotency and audit redaction</x:v>
      </x:c>
      <x:c r="N205" s="16" t="str">
        <x:v>Update phone; request password reset; list and create closure twice; inspect events and raw-value leakage</x:v>
      </x:c>
      <x:c r="O205" s="16" t="str">
        <x:v>Return Result failures to the UI; derive profile and closure owners from auth; keep reset enumeration-safe; create at most one pending closure; audit without raw values</x:v>
      </x:c>
      <x:c r="P205" s="16" t="str">
        <x:v>Client now returns failed Results instead of unconditional success; phone patch and delivery proof passed; closure read create and duplicate paths passed with redacted audits</x:v>
      </x:c>
      <x:c r="Q205" s="16" t="str">
        <x:v>PATCH /v1/auth/me | POST /v1/auth/forgot-password | GET/POST /v1/me/data-deletion-requests</x:v>
      </x:c>
      <x:c r="R205" s="16" t="str">
        <x:v>Profile 200; webhook reset request accepted and reset completed; closure GET 200 POST 201 duplicate POST 200</x:v>
      </x:c>
      <x:c r="S205" s="16" t="str"/>
      <x:c r="T205" s="16" t="str">
        <x:v>User | PasswordResetToken | Session | DataDeletionRequest | AuditEvent</x:v>
      </x:c>
      <x:c r="U205" s="16" t="str">
        <x:v>Isolated seed records updated as expected; duplicate closure returned the existing row</x:v>
      </x:c>
      <x:c r="V205" s="16" t="str">
        <x:v>Actor identity is derived from auth for profile and closure; reset uses generic response; direct database access is not exposed</x:v>
      </x:c>
      <x:c r="W205" s="16" t="str">
        <x:v>auth.profile_update SUCCESS and DENY omit raw email and phone; auth.password_reset_requested records domain and delivery status; deletion read/create SUCCESS omit raw reason</x:v>
      </x:c>
      <x:c r="X205" s="16" t="str"/>
      <x:c r="Y205" s="16" t="str">
        <x:v>not applicable to isolated API processes</x:v>
      </x:c>
      <x:c r="Z205" s="16" t="str">
        <x:v>all accounts</x:v>
      </x:c>
      <x:c r="AA205" s="16" t="str">
        <x:v>Self-owned updates and closure status; password reset does not disclose account existence</x:v>
      </x:c>
      <x:c r="AB205" s="16" t="str">
        <x:v>passed</x:v>
      </x:c>
      <x:c r="AC205" s="16" t="str">
        <x:v>passed</x:v>
      </x:c>
      <x:c r="AD205" s="16" t="str">
        <x:v>removed unconditional-success compatibility wrapper</x:v>
      </x:c>
      <x:c r="AE205" s="16" t="str">
        <x:v>not applicable</x:v>
      </x:c>
      <x:c r="AF205" s="16" t="str">
        <x:v>passed</x:v>
      </x:c>
      <x:c r="AG205" s="16" t="str">
        <x:v>API and service contract proof</x:v>
      </x:c>
      <x:c r="AH205" s="16" t="str">
        <x:v>protects identities and account access for the football product</x:v>
      </x:c>
      <x:c r="AI205" s="16" t="str">
        <x:v>not applicable</x:v>
      </x:c>
      <x:c r="AJ205" s="16" t="str">
        <x:v>Service returns Result error state; UI controls lock against duplicate submission</x:v>
      </x:c>
      <x:c r="AK205" s="16" t="str">
        <x:v>fixed</x:v>
      </x:c>
      <x:c r="AL205" s="16" t="str">
        <x:v>high</x:v>
      </x:c>
      <x:c r="AM205" s="16" t="str">
        <x:v>services/auth-service.ts | __tests__/services/auth-service.test.ts | __tests__/services/auth-service-api-mode.test.ts | apps/api/src/modules/auth/routes.test.ts | apps/api/src/modules/wave2plus/routes.test.ts</x:v>
      </x:c>
      <x:c r="AN205" s="16" t="str">
        <x:v>The client swallowed every forgot-password failure and always returned success; Account could therefore lie that recovery had started</x:v>
      </x:c>
      <x:c r="AO205" s="16" t="str">
        <x:v>fix(settings): simplify account controls</x:v>
      </x:c>
      <x:c r="AP205" s="16" t="str">
        <x:v>35/35 compiled app tests; 2 selected auth route cases and 1 deletion authority case passed; root typecheck passed</x:v>
      </x:c>
      <x:c r="AQ205" s="16" t="str">
        <x:v>No live reset email profile update or deletion request was sent. Supabase current-object posture remains tracked by SEC-004.</x:v>
      </x:c>
    </x:row>
    <x:row r="206" ht="48" customHeight="1">
      <x:c r="A206" s="18" t="str">
        <x:v>QA-010</x:v>
      </x:c>
      <x:c r="B206" s="16" t="str">
        <x:v>ACCOUNT-NONDESTRUCTIVE-INTERACTIONS</x:v>
      </x:c>
      <x:c r="C206" s="16" t="str">
        <x:v>Deterministic account control and failure proof</x:v>
      </x:c>
      <x:c r="D206" s="16" t="str">
        <x:v>coach; reusable QA infrastructure</x:v>
      </x:c>
      <x:c r="E206" s="16" t="str">
        <x:v>scripts/ui-flow-checks-50.mjs | /settings/account</x:v>
      </x:c>
      <x:c r="F206" s="16" t="str">
        <x:v>Account interaction profile</x:v>
      </x:c>
      <x:c r="G206" s="16" t="str">
        <x:v>injected phone PATCH 503; intercepted reset POST 204; pause and closure cancellation; injected closure POST 503</x:v>
      </x:c>
      <x:c r="H206" s="16" t="str">
        <x:v>iPhone 16 Pro responsive browser viewport</x:v>
      </x:c>
      <x:c r="I206" s="16" t="str">
        <x:v>local Expo web backed by authenticated GETs; Playwright-intercepted mutations</x:v>
      </x:c>
      <x:c r="J206" s="16" t="str">
        <x:v>Direct protected route after coach preflight</x:v>
      </x:c>
      <x:c r="K206" s="16" t="str">
        <x:v>Ready Account route with no pending closure</x:v>
      </x:c>
      <x:c r="L206" s="16" t="str">
        <x:v>1</x:v>
      </x:c>
      <x:c r="M206" s="16" t="str">
        <x:v>intentional failure success and reversible prompts</x:v>
      </x:c>
      <x:c r="N206" s="16" t="str">
        <x:v>Edit phone; intercept save failure; cancel edit; intercept reset acceptance; cancel pause and closure prompts; confirm closure against an intercepted failure</x:v>
      </x:c>
      <x:c r="O206" s="16" t="str">
        <x:v>Exercise every control without mutating staging and keep all undeclared network console or UI failures fatal</x:v>
      </x:c>
      <x:c r="P206" s="16" t="str">
        <x:v>Both exact 503 responses and their shared console error were reconciled; phone editor remained; reset success required exact 204; prompts cancelled cleanly; rejected closure restored an actionable error state; profile passed 1/1</x:v>
      </x:c>
      <x:c r="Q206" s="16" t="str">
        <x:v>intercepted PATCH /v1/auth/me | intercepted POST /v1/auth/forgot-password | intercepted POST /v1/me/data-deletion-requests</x:v>
      </x:c>
      <x:c r="R206" s="16" t="str">
        <x:v>Both 503 responses and the 204 were fulfilled locally; the upstream API received no mutation</x:v>
      </x:c>
      <x:c r="S206" s="16" t="str">
        <x:v>not applicable</x:v>
      </x:c>
      <x:c r="T206" s="16" t="str">
        <x:v>User | PasswordResetToken | DataDeletionRequest</x:v>
      </x:c>
      <x:c r="U206" s="16" t="str">
        <x:v>No database mutation</x:v>
      </x:c>
      <x:c r="V206" s="16" t="str">
        <x:v>Not exercised because every write was intercepted before Fastify</x:v>
      </x:c>
      <x:c r="W206" s="16" t="str">
        <x:v>No update reset or deletion-create audit expected because Fastify was not reached</x:v>
      </x:c>
      <x:c r="X206" s="16" t="str"/>
      <x:c r="Y206" s="16" t="str">
        <x:v>Sentry reads remain blocked by HTTP 403; no unexpected runtime finding</x:v>
      </x:c>
      <x:c r="Z206" s="16" t="str">
        <x:v>QA flows using the dedicated profile</x:v>
      </x:c>
      <x:c r="AA206" s="16" t="str">
        <x:v>Normal profiles remain strict; only this flow permits its exact declared 503 errors</x:v>
      </x:c>
      <x:c r="AB206" s="16" t="str">
        <x:v>not applicable</x:v>
      </x:c>
      <x:c r="AC206" s="16" t="str">
        <x:v>not applicable</x:v>
      </x:c>
      <x:c r="AD206" s="16" t="str">
        <x:v>not applicable</x:v>
      </x:c>
      <x:c r="AE206" s="16" t="str">
        <x:v>not applicable</x:v>
      </x:c>
      <x:c r="AF206" s="16" t="str">
        <x:v>not applicable</x:v>
      </x:c>
      <x:c r="AG206" s="16" t="str">
        <x:v>Responsive interaction harness; native automation remains blocked by host DevToolsSecurity</x:v>
      </x:c>
      <x:c r="AH206" s="16" t="str">
        <x:v>protects account continuity for football participants</x:v>
      </x:c>
      <x:c r="AI206" s="16" t="str">
        <x:v>Final ready screenshot is separate; interaction report records all assertions</x:v>
      </x:c>
      <x:c r="AJ206" s="16" t="str">
        <x:v>Targets named Phone input save cancel reset pause closure Create request and Cancel controls</x:v>
      </x:c>
      <x:c r="AK206" s="16" t="str">
        <x:v>fixed</x:v>
      </x:c>
      <x:c r="AL206" s="16" t="str">
        <x:v>high</x:v>
      </x:c>
      <x:c r="AM206" s="16" t="str">
        <x:v>reviews/ios-native-audit/runtime/2026-07-31/settings-account-interactions-final/report.json | scripts/ui-flow-checks-50.mjs</x:v>
      </x:c>
      <x:c r="AN206" s="16" t="str">
        <x:v>The audit suite had no complete non-destructive proof that Account controls handled failure success and confirmation outcomes correctly</x:v>
      </x:c>
      <x:c r="AO206" s="16" t="str">
        <x:v>fix(settings): simplify account controls</x:v>
      </x:c>
      <x:c r="AP206" s="16" t="str">
        <x:v>Dedicated interaction profile passed 1/1 with every expected 503 and 204 observed and no unexpected finding</x:v>
      </x:c>
      <x:c r="AQ206" s="16" t="str">
        <x:v>No staging or production mutation was submitted.</x:v>
      </x:c>
    </x:row>
    <x:row r="207" ht="48" customHeight="1">
      <x:c r="A207" s="18" t="str">
        <x:v>LEGAL-001</x:v>
      </x:c>
      <x:c r="B207" s="16" t="str">
        <x:v>LEGAL-COPY-APPROVAL</x:v>
      </x:c>
      <x:c r="C207" s="16" t="str">
        <x:v>Privacy notice and consumer terms require qualified approval</x:v>
      </x:c>
      <x:c r="D207" s="16" t="str">
        <x:v>all users and prospective users</x:v>
      </x:c>
      <x:c r="E207" s="16" t="str">
        <x:v>app/settings/privacy-policy.tsx | app/settings/terms.tsx | executable auth, booking, club and trust flows</x:v>
      </x:c>
      <x:c r="F207" s="16" t="str">
        <x:v>Privacy Policy | Terms</x:v>
      </x:c>
      <x:c r="G207" s="16" t="str">
        <x:v>substantive legal audit</x:v>
      </x:c>
      <x:c r="H207" s="16" t="str">
        <x:v>current UK official guidance</x:v>
      </x:c>
      <x:c r="I207" s="16" t="str">
        <x:v>repository truth plus official ICO and CMA guidance</x:v>
      </x:c>
      <x:c r="J207" s="16" t="str">
        <x:v>Pre-release legal gate</x:v>
      </x:c>
      <x:c r="K207" s="16" t="str">
        <x:v>No legal entity, DPO/controller record, processing inventory, transfer map, retention schedule or counsel approval found in repository</x:v>
      </x:c>
      <x:c r="L207" s="16" t="str">
        <x:v>1</x:v>
      </x:c>
      <x:c r="M207" s="16" t="str">
        <x:v>launch blocker</x:v>
      </x:c>
      <x:c r="N207" s="16" t="str">
        <x:v>Compare each statement with runtime truth and official UK privacy/consumer transparency requirements; do not invent missing company or provider facts</x:v>
      </x:c>
      <x:c r="O207" s="16" t="str">
        <x:v>No release-ready claim until the missing facts are supplied, contradictory clauses are corrected and qualified counsel approves both documents</x:v>
      </x:c>
      <x:c r="P207" s="16" t="str">
        <x:v>High-confidence contradictions and missing mandatory privacy information recorded; technical route defects fixed separately</x:v>
      </x:c>
      <x:c r="Q207" s="16" t="str">
        <x:v>none</x:v>
      </x:c>
      <x:c r="R207" s="16" t="str">
        <x:v>No product request; read-only repository and official-source review</x:v>
      </x:c>
      <x:c r="S207" s="16" t="str"/>
      <x:c r="T207" s="16" t="str">
        <x:v>User | ChildProfile | Booking | Message | Verification | Medical | Safeguarding | AuditEvent</x:v>
      </x:c>
      <x:c r="U207" s="16" t="str">
        <x:v>No database mutation</x:v>
      </x:c>
      <x:c r="V207" s="16" t="str">
        <x:v>Existing runtime authorization was inspected conceptually; no direct RLS test was needed for this static copy audit</x:v>
      </x:c>
      <x:c r="W207" s="16" t="str">
        <x:v>No product audit event expected</x:v>
      </x:c>
      <x:c r="X207" s="16" t="str"/>
      <x:c r="Y207" s="16" t="str">
        <x:v>Sentry issue access remains blocked by HTTP 403; unrelated to legal-copy approval</x:v>
      </x:c>
      <x:c r="Z207" s="16" t="str">
        <x:v>all roles</x:v>
      </x:c>
      <x:c r="AA207" s="16" t="str">
        <x:v>Every role is affected because the documents govern the whole service</x:v>
      </x:c>
      <x:c r="AB207" s="16" t="str">
        <x:v>failed</x:v>
      </x:c>
      <x:c r="AC207" s="16" t="str">
        <x:v>failed</x:v>
      </x:c>
      <x:c r="AD207" s="16" t="str">
        <x:v>not applicable; governance blocker</x:v>
      </x:c>
      <x:c r="AE207" s="16" t="str">
        <x:v>current drafts read like generic generated templates rather than Clubroom's actual data and commercial model</x:v>
      </x:c>
      <x:c r="AF207" s="16" t="str">
        <x:v>failed</x:v>
      </x:c>
      <x:c r="AG207" s="16" t="str">
        <x:v>not applicable; governance review</x:v>
      </x:c>
      <x:c r="AH207" s="16" t="str">
        <x:v>paid football development, minors, club-assigned delivery and off-app billing all require accurate treatment</x:v>
      </x:c>
      <x:c r="AI207" s="16" t="str">
        <x:v>UI is legible, but visual quality cannot cure missing legal substance</x:v>
      </x:c>
      <x:c r="AJ207" s="16" t="str">
        <x:v>Official guidance requires clear, legible and intelligible terms; native VoiceOver remains unverified</x:v>
      </x:c>
      <x:c r="AK207" s="16" t="str">
        <x:v>blocked</x:v>
      </x:c>
      <x:c r="AL207" s="16" t="str">
        <x:v>high</x:v>
      </x:c>
      <x:c r="AM207" s="16" t="str">
        <x:v>https://ico.org.uk/for-organisations/uk-gdpr-guidance-and-resources/individual-rights/the-right-to-be-informed/what-privacy-information-should-we-provide/ | https://ico.org.uk/for-organisations/uk-gdpr-guidance-and-resources/childrens-information/childrens-code-guidance-and-resources/introduction-to-the-childrens-code | https://www.gov.uk/guidance/writing-a-fair-contract-for-customers | services/auth-service.ts | app/settings/privacy-policy.tsx | app/settings/terms.tsx</x:v>
      </x:c>
      <x:c r="AN207" s="16" t="str">
        <x:v>Privacy notice omits mandatory factual categories and the Terms contain executable contradictions plus clauses official CMA guidance identifies as potentially unfair</x:v>
      </x:c>
      <x:c r="AO207" s="16" t="str">
        <x:v>blocked pending legal owner</x:v>
      </x:c>
      <x:c r="AP207" s="16" t="str">
        <x:v>Repository, UI and official-source review completed; approval not available</x:v>
      </x:c>
      <x:c r="AQ207" s="16" t="str">
        <x:v>Needed from owner: legal entity/controller identity and address, DPO/representative if applicable, lawful bases, special-category basis, processor/recipient and transfer map, retention schedule, children's DPIA/code review, consumer relationship model and counsel-approved version/date</x:v>
      </x:c>
    </x:row>
    <x:row r="208" ht="48" customHeight="1">
      <x:c r="A208" s="18" t="str">
        <x:v>UI-035</x:v>
      </x:c>
      <x:c r="B208" s="16" t="str">
        <x:v>BLOCKED-ACCOUNT-SETTINGS</x:v>
      </x:c>
      <x:c r="C208" s="16" t="str">
        <x:v>Blocked account self-service safety controls</x:v>
      </x:c>
      <x:c r="D208" s="16" t="str">
        <x:v>all authenticated roles</x:v>
      </x:c>
      <x:c r="E208" s="16" t="str">
        <x:v>/settings/blocked-users</x:v>
      </x:c>
      <x:c r="F208" s="16" t="str">
        <x:v>Blocked Accounts</x:v>
      </x:c>
      <x:c r="G208" s="16" t="str">
        <x:v>loading; error; empty; ready; cancel; failure recovery; success</x:v>
      </x:c>
      <x:c r="H208" s="16" t="str">
        <x:v>iPhone 16 Pro responsive browser viewport</x:v>
      </x:c>
      <x:c r="I208" s="16" t="str">
        <x:v>local Expo web with staging reads and intercepted writes</x:v>
      </x:c>
      <x:c r="J208" s="16" t="str">
        <x:v>Settings &gt; Blocked Accounts or direct route</x:v>
      </x:c>
      <x:c r="K208" s="16" t="str">
        <x:v>Authenticated account</x:v>
      </x:c>
      <x:c r="L208" s="16" t="str">
        <x:v>1</x:v>
      </x:c>
      <x:c r="M208" s="16" t="str">
        <x:v>safe list and unblock interaction</x:v>
      </x:c>
      <x:c r="N208" s="16" t="str">
        <x:v>Render safe identity and the one reversible action</x:v>
      </x:c>
      <x:c r="O208" s="16" t="str">
        <x:v>Show available name and block date; cancel changes nothing; failed unblock recovers; success refreshes</x:v>
      </x:c>
      <x:c r="P208" s="16" t="str">
        <x:v>Compact name, date and Unblock card; no PII or id; cancel, 503 recovery and success-empty branches passed</x:v>
      </x:c>
      <x:c r="Q208" s="16" t="str">
        <x:v>GET/DELETE /v1/blocks</x:v>
      </x:c>
      <x:c r="R208" s="16" t="str">
        <x:v>Ready rendered; 503 restored action and error; success refreshed empty</x:v>
      </x:c>
      <x:c r="S208" s="16" t="str">
        <x:v>writes intercepted before upstream</x:v>
      </x:c>
      <x:c r="T208" s="16" t="str">
        <x:v>UserBlock | User</x:v>
      </x:c>
      <x:c r="U208" s="16" t="str">
        <x:v>No staging row changed</x:v>
      </x:c>
      <x:c r="V208" s="16" t="str">
        <x:v>Direct-role posture verified separately</x:v>
      </x:c>
      <x:c r="W208" s="16" t="str">
        <x:v>Read and write paths audited by Fastify</x:v>
      </x:c>
      <x:c r="X208" s="16" t="str"/>
      <x:c r="Y208" s="16" t="str">
        <x:v>blocked: current Sentry token returns HTTP 403 for issue reads</x:v>
      </x:c>
      <x:c r="Z208" s="16" t="str">
        <x:v>all authenticated roles</x:v>
      </x:c>
      <x:c r="AA208" s="16" t="str">
        <x:v>Same self-owned list and action for each role</x:v>
      </x:c>
      <x:c r="AB208" s="16" t="str">
        <x:v>passed</x:v>
      </x:c>
      <x:c r="AC208" s="16" t="str">
        <x:v>passed</x:v>
      </x:c>
      <x:c r="AD208" s="16" t="str">
        <x:v>removed hidden-profile fetch, email, postcode, role, internal ID and duplicate prose</x:v>
      </x:c>
      <x:c r="AE208" s="16" t="str">
        <x:v>passed</x:v>
      </x:c>
      <x:c r="AF208" s="16" t="str">
        <x:v>passed</x:v>
      </x:c>
      <x:c r="AG208" s="16" t="str">
        <x:v>Shared React Native surface; raw Button text-node warning removed with existing label prop</x:v>
      </x:c>
      <x:c r="AH208" s="16" t="str">
        <x:v>football account safety</x:v>
      </x:c>
      <x:c r="AI208" s="16" t="str">
        <x:v>Lean empty and populated states accepted; severity none</x:v>
      </x:c>
      <x:c r="AJ208" s="16" t="str">
        <x:v>PageHeader labels back; Unblock explicit; pending state prevents duplicates; native VoiceOver blocked</x:v>
      </x:c>
      <x:c r="AK208" s="16" t="str">
        <x:v>fixed</x:v>
      </x:c>
      <x:c r="AL208" s="16" t="str">
        <x:v>high</x:v>
      </x:c>
      <x:c r="AM208" s="16" t="str">
        <x:v>app/settings/blocked-users.tsx | hooks/use-blocked-users-settings.ts | services/block-service.ts | reviews/ios-native-audit/runtime/2026-07-31/settings-blocked-users-ready-final-2/report.json | reviews/ios-native-audit/runtime/2026-07-31/settings-blocked-users-interactions-final/report.json</x:v>
      </x:c>
      <x:c r="AN208" s="16" t="str">
        <x:v>The API returned ids while the UI fetched a profile endpoint that correctly hides users across a block</x:v>
      </x:c>
      <x:c r="AO208" s="16" t="str">
        <x:v>fix(safety): enforce blocked account controls</x:v>
      </x:c>
      <x:c r="AP208" s="16" t="str">
        <x:v>formatting and ESLint passed; root typecheck passed; app 18/18; UI profiles 3/3</x:v>
      </x:c>
      <x:c r="AQ208" s="16" t="str">
        <x:v>No live unblock was submitted.</x:v>
      </x:c>
    </x:row>
    <x:row r="209" ht="48" customHeight="1">
      <x:c r="A209" s="18" t="str">
        <x:v>API-006</x:v>
      </x:c>
      <x:c r="B209" s="16" t="str">
        <x:v>BLOCK-RELATIONSHIP-AUTHORITY</x:v>
      </x:c>
      <x:c r="C209" s="16" t="str">
        <x:v>Blocked-account list and direct-message enforcement</x:v>
      </x:c>
      <x:c r="D209" s="16" t="str">
        <x:v>authenticated self; message participants</x:v>
      </x:c>
      <x:c r="E209" s="16" t="str">
        <x:v>GET/POST/DELETE /v1/blocks | POST /v1/message-threads/:threadId/messages</x:v>
      </x:c>
      <x:c r="F209" s="16" t="str">
        <x:v>Fastify trust and messaging authority</x:v>
      </x:c>
      <x:c r="G209" s="16" t="str">
        <x:v>actor-owned list; safe summary; block either direction; no-write denial</x:v>
      </x:c>
      <x:c r="H209" s="16" t="str">
        <x:v>isolated Fastify seed and DB-fixture processes</x:v>
      </x:c>
      <x:c r="I209" s="16" t="str">
        <x:v>NODE_ENV=test; staging catalog read only</x:v>
      </x:c>
      <x:c r="J209" s="16" t="str">
        <x:v>Blocked Accounts and direct chat</x:v>
      </x:c>
      <x:c r="K209" s="16" t="str">
        <x:v>Authenticated actor and active UserBlock fixture</x:v>
      </x:c>
      <x:c r="L209" s="16" t="str">
        <x:v>1</x:v>
      </x:c>
      <x:c r="M209" s="16" t="str">
        <x:v>read, mutation and cross-surface denial</x:v>
      </x:c>
      <x:c r="N209" s="16" t="str">
        <x:v>List safe summaries; reject blocked message before persistence</x:v>
      </x:c>
      <x:c r="O209" s="16" t="str">
        <x:v>No blocked-user PII in response or audit; active blocks stop direct-message writes</x:v>
      </x:c>
      <x:c r="P209" s="16" t="str">
        <x:v>GET returns id, nullable name and blockedAt; malformed list fails closed; both repository paths return 409 before insert</x:v>
      </x:c>
      <x:c r="Q209" s="16" t="str">
        <x:v>GET/POST/DELETE /v1/blocks | POST /v1/message-threads/:threadId/messages</x:v>
      </x:c>
      <x:c r="R209" s="16" t="str">
        <x:v>Block route 1/1; direct-message routes 2/2; client contract 18/18</x:v>
      </x:c>
      <x:c r="S209" s="16" t="str"/>
      <x:c r="T209" s="16" t="str">
        <x:v>UserBlock | User | Message | MessageParticipant | AuditEvent</x:v>
      </x:c>
      <x:c r="U209" s="16" t="str">
        <x:v>Seed count unchanged; DB fixture returned 409 before creation</x:v>
      </x:c>
      <x:c r="V209" s="16" t="str">
        <x:v>Fastify remains authority; direct client DML revoked</x:v>
      </x:c>
      <x:c r="W209" s="16" t="str">
        <x:v>block reads/writes omit target PII; message denial audited with safe idempotency metadata</x:v>
      </x:c>
      <x:c r="X209" s="16" t="str"/>
      <x:c r="Y209" s="16" t="str">
        <x:v>not applicable to isolated API processes</x:v>
      </x:c>
      <x:c r="Z209" s="16" t="str">
        <x:v>all users with settings or direct messaging</x:v>
      </x:c>
      <x:c r="AA209" s="16" t="str">
        <x:v>Auth-derived self authority; a block in either direction stops new messages</x:v>
      </x:c>
      <x:c r="AB209" s="16" t="str">
        <x:v>passed</x:v>
      </x:c>
      <x:c r="AC209" s="16" t="str">
        <x:v>passed</x:v>
      </x:c>
      <x:c r="AD209" s="16" t="str">
        <x:v>removed cross-boundary profile lookup</x:v>
      </x:c>
      <x:c r="AE209" s="16" t="str">
        <x:v>not applicable</x:v>
      </x:c>
      <x:c r="AF209" s="16" t="str">
        <x:v>passed</x:v>
      </x:c>
      <x:c r="AG209" s="16" t="str">
        <x:v>Existing API and repository boundaries retained</x:v>
      </x:c>
      <x:c r="AH209" s="16" t="str">
        <x:v>protects football participants across roles</x:v>
      </x:c>
      <x:c r="AI209" s="16" t="str">
        <x:v>not applicable</x:v>
      </x:c>
      <x:c r="AJ209" s="16" t="str">
        <x:v>Contract tests prove redaction and denial; UI accessibility covered separately</x:v>
      </x:c>
      <x:c r="AK209" s="16" t="str">
        <x:v>fixed</x:v>
      </x:c>
      <x:c r="AL209" s="16" t="str">
        <x:v>high</x:v>
      </x:c>
      <x:c r="AM209" s="16" t="str">
        <x:v>apps/api/src/modules/trust-ops/blocks.routes.test.ts | apps/api/src/modules/wave2plus/routes.test.ts | apps/api/src/repositories/p0/user-block-repository.ts | apps/api/src/repositories/p0/community-media-repository.ts | apps/api/src/generated/openapi.ts</x:v>
      </x:c>
      <x:c r="AN209" s="16" t="str">
        <x:v>Direct-message API writes bypassed the client-only block check and the list could not populate its UI safely</x:v>
      </x:c>
      <x:c r="AO209" s="16" t="str">
        <x:v>fix(safety): enforce blocked account controls</x:v>
      </x:c>
      <x:c r="AP209" s="16" t="str">
        <x:v>API typecheck passed; block route 1/1; message seed and DB fixture 2/2; OpenAPI 421 operations</x:v>
      </x:c>
      <x:c r="AQ209" s="16" t="str">
        <x:v>Idempotent replay creates no new write; all new writes check the active block.</x:v>
      </x:c>
    </x:row>
    <x:row r="210" ht="48" customHeight="1">
      <x:c r="A210" s="18" t="str">
        <x:v>QA-011</x:v>
      </x:c>
      <x:c r="B210" s="16" t="str">
        <x:v>BLOCKED-ACCOUNT-NONDESTRUCTIVE-INTERACTIONS</x:v>
      </x:c>
      <x:c r="C210" s="16" t="str">
        <x:v>Deterministic blocked-account state and failure proof</x:v>
      </x:c>
      <x:c r="D210" s="16" t="str">
        <x:v>coach; reusable QA infrastructure</x:v>
      </x:c>
      <x:c r="E210" s="16" t="str">
        <x:v>scripts/ui-flow-checks-50.mjs | /settings/blocked-users</x:v>
      </x:c>
      <x:c r="F210" s="16" t="str">
        <x:v>Blocked Accounts interaction profile</x:v>
      </x:c>
      <x:c r="G210" s="16" t="str">
        <x:v>populated; cancel; injected 503; recovered; intercepted success; empty</x:v>
      </x:c>
      <x:c r="H210" s="16" t="str">
        <x:v>iPhone 16 Pro responsive browser viewport</x:v>
      </x:c>
      <x:c r="I210" s="16" t="str">
        <x:v>local Expo web with mocked GET/DELETE</x:v>
      </x:c>
      <x:c r="J210" s="16" t="str">
        <x:v>Direct protected route</x:v>
      </x:c>
      <x:c r="K210" s="16" t="str">
        <x:v>Staging login; mocks installed before navigation</x:v>
      </x:c>
      <x:c r="L210" s="16" t="str">
        <x:v>1</x:v>
      </x:c>
      <x:c r="M210" s="16" t="str">
        <x:v>non-destructive interaction</x:v>
      </x:c>
      <x:c r="N210" s="16" t="str">
        <x:v>Cancel, inject failure, retry with intercepted success and assert refresh</x:v>
      </x:c>
      <x:c r="O210" s="16" t="str">
        <x:v>Exercise complete mutation UI without changing staging</x:v>
      </x:c>
      <x:c r="P210" s="16" t="str">
        <x:v>All declared states and errors observed; severity none; no id or unexpected warning</x:v>
      </x:c>
      <x:c r="Q210" s="16" t="str">
        <x:v>intercepted GET/DELETE /v1/blocks</x:v>
      </x:c>
      <x:c r="R210" s="16" t="str">
        <x:v>503 then 200 fulfilled locally; no upstream DELETE</x:v>
      </x:c>
      <x:c r="S210" s="16" t="str">
        <x:v>not applicable; intercepted</x:v>
      </x:c>
      <x:c r="T210" s="16" t="str">
        <x:v>UserBlock</x:v>
      </x:c>
      <x:c r="U210" s="16" t="str">
        <x:v>No mutation</x:v>
      </x:c>
      <x:c r="V210" s="16" t="str">
        <x:v>Not exercised by intercepted writes</x:v>
      </x:c>
      <x:c r="W210" s="16" t="str">
        <x:v>No API audit expected because Fastify was not reached</x:v>
      </x:c>
      <x:c r="X210" s="16" t="str"/>
      <x:c r="Y210" s="16" t="str">
        <x:v>blocked: current Sentry token returns HTTP 403 for issue reads</x:v>
      </x:c>
      <x:c r="Z210" s="16" t="str">
        <x:v>QA flows using this profile</x:v>
      </x:c>
      <x:c r="AA210" s="16" t="str">
        <x:v>Opt-in profile keeps general unexpected-error checks strict</x:v>
      </x:c>
      <x:c r="AB210" s="16" t="str">
        <x:v>not applicable</x:v>
      </x:c>
      <x:c r="AC210" s="16" t="str">
        <x:v>not applicable</x:v>
      </x:c>
      <x:c r="AD210" s="16" t="str">
        <x:v>proves no duplicate or dead action</x:v>
      </x:c>
      <x:c r="AE210" s="16" t="str">
        <x:v>proves raw text-node warning is gone</x:v>
      </x:c>
      <x:c r="AF210" s="16" t="str">
        <x:v>not applicable</x:v>
      </x:c>
      <x:c r="AG210" s="16" t="str">
        <x:v>Responsive harness only; native semantic runner blocked</x:v>
      </x:c>
      <x:c r="AH210" s="16" t="str">
        <x:v>protects safety interaction integrity</x:v>
      </x:c>
      <x:c r="AI210" s="16" t="str">
        <x:v>Ready profile asserts scroll top and exact safe card</x:v>
      </x:c>
      <x:c r="AJ210" s="16" t="str">
        <x:v>Targets named Unblock and Cancel controls; failure requires re-enabled button</x:v>
      </x:c>
      <x:c r="AK210" s="16" t="str">
        <x:v>fixed</x:v>
      </x:c>
      <x:c r="AL210" s="16" t="str">
        <x:v>high</x:v>
      </x:c>
      <x:c r="AM210" s="16" t="str">
        <x:v>reviews/ios-native-audit/runtime/2026-07-31/settings-blocked-users-interactions-final/report.json | scripts/ui-flow-checks-50.mjs</x:v>
      </x:c>
      <x:c r="AN210" s="16" t="str">
        <x:v>No safe deterministic proof existed for cancel, error recovery and success without mutating staging</x:v>
      </x:c>
      <x:c r="AO210" s="16" t="str">
        <x:v>fix(safety): enforce blocked account controls</x:v>
      </x:c>
      <x:c r="AP210" s="16" t="str">
        <x:v>interaction 1/1 severity none; ready 1/1; actual empty 1/1</x:v>
      </x:c>
      <x:c r="AQ210" s="16" t="str">
        <x:v>Earlier diagnostic warning run is excluded from accepted evidence.</x:v>
      </x:c>
    </x:row>
    <x:row r="211" ht="48" customHeight="1">
      <x:c r="A211" s="18" t="str">
        <x:v>SEC-006</x:v>
      </x:c>
      <x:c r="B211" s="16" t="str">
        <x:v>USER-BLOCK-RLS-AUTHORITY</x:v>
      </x:c>
      <x:c r="C211" s="16" t="str">
        <x:v>UserBlock staging schema and direct-role posture</x:v>
      </x:c>
      <x:c r="D211" s="16" t="str">
        <x:v>system</x:v>
      </x:c>
      <x:c r="E211" s="16" t="str">
        <x:v>Supabase Postgres catalog; UserBlock migration</x:v>
      </x:c>
      <x:c r="F211" s="16" t="str">
        <x:v>Database authority</x:v>
      </x:c>
      <x:c r="G211" s="16" t="str">
        <x:v>migration applied; RLS enabled; direct roles denied</x:v>
      </x:c>
      <x:c r="H211" s="16" t="str">
        <x:v>read-only staging catalog</x:v>
      </x:c>
      <x:c r="I211" s="16" t="str">
        <x:v>staging database</x:v>
      </x:c>
      <x:c r="J211" s="16" t="str">
        <x:v>npm run audit:db:stage plus focused Prisma catalog query</x:v>
      </x:c>
      <x:c r="K211" s="16" t="str">
        <x:v>Staging DATABASE_URL; no production target</x:v>
      </x:c>
      <x:c r="L211" s="16" t="str">
        <x:v>1</x:v>
      </x:c>
      <x:c r="M211" s="16" t="str">
        <x:v>read-only authority proof</x:v>
      </x:c>
      <x:c r="N211" s="16" t="str">
        <x:v>Inspect migration, RLS, grants and policies without changing data</x:v>
      </x:c>
      <x:c r="O211" s="16" t="str">
        <x:v>UserBlock is backend-authoritative and Data API roles cannot read or write it</x:v>
      </x:c>
      <x:c r="P211" s="16" t="str">
        <x:v>Migration applied; RLS enabled; anon, authenticated and PUBLIC have no DML; zero policies with revoked roles</x:v>
      </x:c>
      <x:c r="Q211" s="16" t="str">
        <x:v>Postgres catalog</x:v>
      </x:c>
      <x:c r="R211" s="16" t="str">
        <x:v>Read-only query completed; global preflight blocked only by future defaults</x:v>
      </x:c>
      <x:c r="S211" s="16" t="str"/>
      <x:c r="T211" s="16" t="str">
        <x:v>_prisma_migrations | pg_class | pg_policy | information_schema.role_table_grants</x:v>
      </x:c>
      <x:c r="U211" s="16" t="str">
        <x:v>No row mutation</x:v>
      </x:c>
      <x:c r="V211" s="16" t="str">
        <x:v>RLS enabled; not forced; zero direct role DML; zero policies</x:v>
      </x:c>
      <x:c r="W211" s="16" t="str">
        <x:v>No product audit expected from catalog inspection</x:v>
      </x:c>
      <x:c r="X211" s="16" t="str"/>
      <x:c r="Y211" s="16" t="str">
        <x:v>not applicable</x:v>
      </x:c>
      <x:c r="Z211" s="16" t="str">
        <x:v>all roles</x:v>
      </x:c>
      <x:c r="AA211" s="16" t="str">
        <x:v>Current UserBlock rows are unavailable to Supabase client roles; Fastify audits access</x:v>
      </x:c>
      <x:c r="AB211" s="16" t="str">
        <x:v>passed current object; future blocker remains SEC-004</x:v>
      </x:c>
      <x:c r="AC211" s="16" t="str">
        <x:v>requires owner action for global defaults</x:v>
      </x:c>
      <x:c r="AD211" s="16" t="str">
        <x:v>not applicable</x:v>
      </x:c>
      <x:c r="AE211" s="16" t="str">
        <x:v>not applicable</x:v>
      </x:c>
      <x:c r="AF211" s="16" t="str">
        <x:v>not applicable</x:v>
      </x:c>
      <x:c r="AG211" s="16" t="str">
        <x:v>not applicable</x:v>
      </x:c>
      <x:c r="AH211" s="16" t="str">
        <x:v>protects cross-role participant safety</x:v>
      </x:c>
      <x:c r="AI211" s="16" t="str">
        <x:v>not applicable</x:v>
      </x:c>
      <x:c r="AJ211" s="16" t="str">
        <x:v>not applicable</x:v>
      </x:c>
      <x:c r="AK211" s="16" t="str">
        <x:v>fixed</x:v>
      </x:c>
      <x:c r="AL211" s="16" t="str">
        <x:v>high</x:v>
      </x:c>
      <x:c r="AM211" s="16" t="str">
        <x:v>packages/db/prisma/migrations/20260705143000_user_blocks/migration.sql | scripts/db-staging-preflight.js | apps/api/src/repositories/p0/user-block-repository.ts</x:v>
      </x:c>
      <x:c r="AN211" s="16" t="str">
        <x:v>No current UserBlock exposure found; separate global future-object defaults remain unsafe</x:v>
      </x:c>
      <x:c r="AO211" s="16" t="str">
        <x:v>fix(safety): enforce blocked account controls</x:v>
      </x:c>
      <x:c r="AP211" s="16" t="str">
        <x:v>56/56 migrations; UserBlock RLS true; anon/authenticated/PUBLIC DML false; policy count 0; read-only only</x:v>
      </x:c>
      <x:c r="AQ211" s="16" t="str">
        <x:v>Supabase MCP unavailable; configured read-only database connection supplied evidence. SEC-004 remains open with 25 findings.</x:v>
      </x:c>
    </x:row>
    <x:row r="212" ht="48" customHeight="1">
      <x:c r="A212" s="18" t="str">
        <x:v>UI-036</x:v>
      </x:c>
      <x:c r="B212" s="16" t="str">
        <x:v>CLUB-POST-SIMPLIFICATION</x:v>
      </x:c>
      <x:c r="C212" s="16" t="str">
        <x:v>Truthful lean club update composer</x:v>
      </x:c>
      <x:c r="D212" s="16" t="str">
        <x:v>authorized club staff</x:v>
      </x:c>
      <x:c r="E212" s="16" t="str">
        <x:v>/create-club-post</x:v>
      </x:c>
      <x:c r="F212" s="16" t="str">
        <x:v>New club update</x:v>
      </x:c>
      <x:c r="G212" s="16" t="str">
        <x:v>ready and rejected submit</x:v>
      </x:c>
      <x:c r="H212" s="16" t="str">
        <x:v>iPhone 16 Pro responsive browser viewport</x:v>
      </x:c>
      <x:c r="I212" s="16" t="str">
        <x:v>local Expo web with live club-authority read and intercepted mutation</x:v>
      </x:c>
      <x:c r="J212" s="16" t="str">
        <x:v>Club Hub create action</x:v>
      </x:c>
      <x:c r="K212" s="16" t="str">
        <x:v>Active club with create-post permission</x:v>
      </x:c>
      <x:c r="L212" s="16" t="str">
        <x:v>1</x:v>
      </x:c>
      <x:c r="M212" s="16" t="str">
        <x:v>club-wide text update</x:v>
      </x:c>
      <x:c r="N212" s="16" t="str">
        <x:v>Review hierarchy copy controls selection fields pending state and error recovery</x:v>
      </x:c>
      <x:c r="O212" s="16" t="str">
        <x:v>One clear purpose and one primary action with only supported choices</x:v>
      </x:c>
      <x:c r="P212" s="16" t="str">
        <x:v>One club and All members are explicit; Author and Type are the only selectors; Headline and update are the only inputs; failure remains actionable</x:v>
      </x:c>
      <x:c r="Q212" s="16" t="str">
        <x:v>GET /v1/clubs | intercepted POST /v1/posts</x:v>
      </x:c>
      <x:c r="R212" s="16" t="str">
        <x:v>Read succeeded; deliberate 503 rendered a concise inline alert and restored Post</x:v>
      </x:c>
      <x:c r="S212" s="16" t="str"/>
      <x:c r="T212" s="16" t="str">
        <x:v>Club | ClubMembership | Post</x:v>
      </x:c>
      <x:c r="U212" s="16" t="str">
        <x:v>No staging mutation</x:v>
      </x:c>
      <x:c r="V212" s="16" t="str">
        <x:v>Fastify remains authoritative</x:v>
      </x:c>
      <x:c r="W212" s="16" t="str">
        <x:v>No product audit expected for the intercepted write</x:v>
      </x:c>
      <x:c r="X212" s="16" t="str"/>
      <x:c r="Y212" s="16" t="str">
        <x:v>Sentry issue reads blocked by HTTP 403; no unexpected coach runtime finding</x:v>
      </x:c>
      <x:c r="Z212" s="16" t="str">
        <x:v>coach and authorized club staff</x:v>
      </x:c>
      <x:c r="AA212" s="16" t="str">
        <x:v>Authorized flow passed</x:v>
      </x:c>
      <x:c r="AB212" s="16" t="str">
        <x:v>passed</x:v>
      </x:c>
      <x:c r="AC212" s="16" t="str">
        <x:v>passed</x:v>
      </x:c>
      <x:c r="AD212" s="16" t="str">
        <x:v>photo video event distribution personal feed specific group helper copy and duplicate footer removed</x:v>
      </x:c>
      <x:c r="AE212" s="16" t="str">
        <x:v>no assistant language gradients decorative dashboard cards or fake completeness</x:v>
      </x:c>
      <x:c r="AF212" s="16" t="str">
        <x:v>short direct labels</x:v>
      </x:c>
      <x:c r="AG212" s="16" t="str">
        <x:v>Shared React Native surface; actual semantic native run host-blocked</x:v>
      </x:c>
      <x:c r="AH212" s="16" t="str">
        <x:v>club name membership audience and announcement terminology</x:v>
      </x:c>
      <x:c r="AI212" s="16" t="str">
        <x:v>Manual clean and error-state screenshots accepted</x:v>
      </x:c>
      <x:c r="AJ212" s="16" t="str">
        <x:v>44px close target; labelled radio inputs and publish button; disabled and busy state</x:v>
      </x:c>
      <x:c r="AK212" s="16" t="str">
        <x:v>fixed</x:v>
      </x:c>
      <x:c r="AL212" s="16" t="str">
        <x:v>high</x:v>
      </x:c>
      <x:c r="AM212" s="16" t="str">
        <x:v>app/(modal)/create-club-post.tsx | components/social/club-post-selectors.tsx | reviews/ios-native-audit/runtime/2026-08-01/create-club-post-final/coach__coach_create_club_post_ready.png | reviews/ios-native-audit/runtime/2026-08-01/create-club-post-final/coach__coach_create_club_post_interactions.png</x:v>
      </x:c>
      <x:c r="AN212" s="16" t="str">
        <x:v>The old composer looked generated and promised product capabilities the live write boundary did not safely support</x:v>
      </x:c>
      <x:c r="AO212" s="16" t="str">
        <x:v>fix(social): harden club update publishing</x:v>
      </x:c>
      <x:c r="AP212" s="16" t="str">
        <x:v>Responsive ready and interaction flows passed; root typecheck and focused tests passed</x:v>
      </x:c>
      <x:c r="AQ212" s="16" t="str">
        <x:v>Ponytail deliberately removed scope instead of inventing another abstraction or unfinished upload flow.</x:v>
      </x:c>
    </x:row>
    <x:row r="213" ht="48" customHeight="1">
      <x:c r="A213" s="18" t="str">
        <x:v>API-007</x:v>
      </x:c>
      <x:c r="B213" s="16" t="str">
        <x:v>CLUB-POST-AUTHORITY</x:v>
      </x:c>
      <x:c r="C213" s="16" t="str">
        <x:v>Club post write and metadata authority</x:v>
      </x:c>
      <x:c r="D213" s="16" t="str">
        <x:v>authenticated club staff; unauthorized caller</x:v>
      </x:c>
      <x:c r="E213" s="16" t="str">
        <x:v>POST /v1/posts</x:v>
      </x:c>
      <x:c r="F213" s="16" t="str">
        <x:v>Fastify post authority</x:v>
      </x:c>
      <x:c r="G213" s="16" t="str">
        <x:v>valid club post; forged squad scope; arbitrary media URL; personal feed classification</x:v>
      </x:c>
      <x:c r="H213" s="16" t="str">
        <x:v>isolated Fastify seed process</x:v>
      </x:c>
      <x:c r="I213" s="16" t="str">
        <x:v>NODE_ENV=test API_DATA_BACKEND=seed</x:v>
      </x:c>
      <x:c r="J213" s="16" t="str">
        <x:v>Club update composer</x:v>
      </x:c>
      <x:c r="K213" s="16" t="str">
        <x:v>Authenticated fixtures and idempotency keys</x:v>
      </x:c>
      <x:c r="L213" s="16" t="str">
        <x:v>1</x:v>
      </x:c>
      <x:c r="M213" s="16" t="str">
        <x:v>success and denial before persistence</x:v>
      </x:c>
      <x:c r="N213" s="16" t="str">
        <x:v>Submit supported club metadata; then forge squadId and external media metadata</x:v>
      </x:c>
      <x:c r="O213" s="16" t="str">
        <x:v>Supported existing contract remains valid; privacy-looking metadata is rejected before repository write; each denial is audited without raw content</x:v>
      </x:c>
      <x:c r="P213" s="16" t="str">
        <x:v>Existing staff post integration passed; both forged requests returned 400; post count stayed unchanged; matching DENY audit events were present</x:v>
      </x:c>
      <x:c r="Q213" s="16" t="str">
        <x:v>POST /v1/posts</x:v>
      </x:c>
      <x:c r="R213" s="16" t="str">
        <x:v>Valid integration path passed; forged squad and media paths returned 400</x:v>
      </x:c>
      <x:c r="S213" s="16" t="str"/>
      <x:c r="T213" s="16" t="str">
        <x:v>Post | ClubMembership | AuditEvent</x:v>
      </x:c>
      <x:c r="U213" s="16" t="str">
        <x:v>Denied requests created no Post row</x:v>
      </x:c>
      <x:c r="V213" s="16" t="str">
        <x:v>Repository remains behind Fastify authority</x:v>
      </x:c>
      <x:c r="W213" s="16" t="str">
        <x:v>post.create DENY events recorded with idempotency key and safe error metadata</x:v>
      </x:c>
      <x:c r="X213" s="16" t="str"/>
      <x:c r="Y213" s="16" t="str">
        <x:v>not applicable to isolated test process</x:v>
      </x:c>
      <x:c r="Z213" s="16" t="str">
        <x:v>club staff; parent; athlete</x:v>
      </x:c>
      <x:c r="AA213" s="16" t="str">
        <x:v>Server permission rules plus client denial prevent unauthorized publishing</x:v>
      </x:c>
      <x:c r="AB213" s="16" t="str">
        <x:v>passed</x:v>
      </x:c>
      <x:c r="AC213" s="16" t="str">
        <x:v>passed</x:v>
      </x:c>
      <x:c r="AD213" s="16" t="str">
        <x:v>unsupported metadata no longer reaches persistence</x:v>
      </x:c>
      <x:c r="AE213" s="16" t="str">
        <x:v>not applicable</x:v>
      </x:c>
      <x:c r="AF213" s="16" t="str">
        <x:v>passed</x:v>
      </x:c>
      <x:c r="AG213" s="16" t="str">
        <x:v>Existing Fastify route and repository boundary retained</x:v>
      </x:c>
      <x:c r="AH213" s="16" t="str">
        <x:v>protects club audience integrity</x:v>
      </x:c>
      <x:c r="AI213" s="16" t="str">
        <x:v>not applicable</x:v>
      </x:c>
      <x:c r="AJ213" s="16" t="str">
        <x:v>Client mutex prevents duplicate taps; API idempotency remains active</x:v>
      </x:c>
      <x:c r="AK213" s="16" t="str">
        <x:v>fixed</x:v>
      </x:c>
      <x:c r="AL213" s="16" t="str">
        <x:v>critical</x:v>
      </x:c>
      <x:c r="AM213" s="16" t="str">
        <x:v>apps/api/src/modules/wave2plus/post-metadata-policy.ts | apps/api/src/modules/wave2plus/post-metadata-policy.test.ts | apps/api/src/modules/wave2plus/routes.test.ts | services/social-feed-service.ts</x:v>
      </x:c>
      <x:c r="AN213" s="16" t="str">
        <x:v>A caller could attach squadId or arbitrary image/video URLs even though the product presented those fields as narrower or finalized publication controls</x:v>
      </x:c>
      <x:c r="AO213" s="16" t="str">
        <x:v>fix(social): harden club update publishing</x:v>
      </x:c>
      <x:c r="AP213" s="16" t="str">
        <x:v>4/4 policy tests and selected existing staff-post integration passed; API typecheck passed</x:v>
      </x:c>
      <x:c r="AQ213" s="16" t="str">
        <x:v>PERSONAL remains an existing API feed classification; the app fails closed until a dedicated complete coaching publisher exists.</x:v>
      </x:c>
    </x:row>
    <x:row r="214" ht="48" customHeight="1">
      <x:c r="A214" s="18" t="str">
        <x:v>QA-012</x:v>
      </x:c>
      <x:c r="B214" s="16" t="str">
        <x:v>CLUB-POST-NONDESTRUCTIVE-INTERACTIONS</x:v>
      </x:c>
      <x:c r="C214" s="16" t="str">
        <x:v>Club post role state and failure proof</x:v>
      </x:c>
      <x:c r="D214" s="16" t="str">
        <x:v>coach; parent; athlete</x:v>
      </x:c>
      <x:c r="E214" s="16" t="str">
        <x:v>scripts/ui-flow-checks-50.mjs | /create-club-post</x:v>
      </x:c>
      <x:c r="F214" s="16" t="str">
        <x:v>Club post audit profile</x:v>
      </x:c>
      <x:c r="G214" s="16" t="str">
        <x:v>clean; selector interactions; inputs; injected 503; parent denied; athlete denied</x:v>
      </x:c>
      <x:c r="H214" s="16" t="str">
        <x:v>iPhone 16 Pro responsive browser viewport</x:v>
      </x:c>
      <x:c r="I214" s="16" t="str">
        <x:v>local Expo web with staging reads and intercepted POST</x:v>
      </x:c>
      <x:c r="J214" s="16" t="str">
        <x:v>Direct protected route</x:v>
      </x:c>
      <x:c r="K214" s="16" t="str">
        <x:v>Role preflight passed</x:v>
      </x:c>
      <x:c r="L214" s="16" t="str">
        <x:v>1</x:v>
      </x:c>
      <x:c r="M214" s="16" t="str">
        <x:v>non-destructive UI proof</x:v>
      </x:c>
      <x:c r="N214" s="16" t="str">
        <x:v>Assert removed controls absent; inspect labels; change radio controls; fill both fields; reject POST; revisit as unauthorized roles</x:v>
      </x:c>
      <x:c r="O214" s="16" t="str">
        <x:v>Every declared branch passes without mutating staging; undeclared high findings fail the run</x:v>
      </x:c>
      <x:c r="P214" s="16" t="str">
        <x:v>4/4 flows passed; clean screenshot captured separately from intentional error; parent and athlete showed no composer</x:v>
      </x:c>
      <x:c r="Q214" s="16" t="str">
        <x:v>intercepted POST /v1/posts</x:v>
      </x:c>
      <x:c r="R214" s="16" t="str">
        <x:v>503 fulfilled locally and exactly reconciled; upstream received no post</x:v>
      </x:c>
      <x:c r="S214" s="16" t="str"/>
      <x:c r="T214" s="16" t="str">
        <x:v>Club | ClubMembership | Post</x:v>
      </x:c>
      <x:c r="U214" s="16" t="str">
        <x:v>No staging mutation</x:v>
      </x:c>
      <x:c r="V214" s="16" t="str">
        <x:v>Unauthorized roles fail before write controls</x:v>
      </x:c>
      <x:c r="W214" s="16" t="str">
        <x:v>No API audit expected because the mutation was intercepted</x:v>
      </x:c>
      <x:c r="X214" s="16" t="str"/>
      <x:c r="Y214" s="16" t="str">
        <x:v>Sentry issue reads blocked by HTTP 403; one later rerun exposed a transient unrelated athlete-home booking fetch and target route still passed</x:v>
      </x:c>
      <x:c r="Z214" s="16" t="str">
        <x:v>coach; parent; athlete</x:v>
      </x:c>
      <x:c r="AA214" s="16" t="str">
        <x:v>Coach 2/2; parent 1/1; athlete 1/1</x:v>
      </x:c>
      <x:c r="AB214" s="16" t="str">
        <x:v>not applicable</x:v>
      </x:c>
      <x:c r="AC214" s="16" t="str">
        <x:v>passed</x:v>
      </x:c>
      <x:c r="AD214" s="16" t="str">
        <x:v>assertions prove removed fields remain absent</x:v>
      </x:c>
      <x:c r="AE214" s="16" t="str">
        <x:v>assertions prove removed phrases remain absent</x:v>
      </x:c>
      <x:c r="AF214" s="16" t="str">
        <x:v>passed</x:v>
      </x:c>
      <x:c r="AG214" s="16" t="str">
        <x:v>Responsive harness; native semantic runner blocked by host</x:v>
      </x:c>
      <x:c r="AH214" s="16" t="str">
        <x:v>football club update workflow</x:v>
      </x:c>
      <x:c r="AI214" s="16" t="str">
        <x:v>Clean denied and recovery screenshots retained</x:v>
      </x:c>
      <x:c r="AJ214" s="16" t="str">
        <x:v>Named close publish radio and input controls were exercised</x:v>
      </x:c>
      <x:c r="AK214" s="16" t="str">
        <x:v>fixed</x:v>
      </x:c>
      <x:c r="AL214" s="16" t="str">
        <x:v>high</x:v>
      </x:c>
      <x:c r="AM214" s="16" t="str">
        <x:v>scripts/ui-flow-checks-50.mjs | reviews/ios-native-audit/runtime/2026-08-01/create-club-post-final/report.json</x:v>
      </x:c>
      <x:c r="AN214" s="16" t="str">
        <x:v>No deterministic role-aware interaction proof existed for this trust-sensitive composer</x:v>
      </x:c>
      <x:c r="AO214" s="16" t="str">
        <x:v>fix(social): harden club update publishing</x:v>
      </x:c>
      <x:c r="AP214" s="16" t="str">
        <x:v>4/4 final target flows passed; zero high findings</x:v>
      </x:c>
      <x:c r="AQ214" s="16" t="str">
        <x:v>The transient booking fetch belongs to the athlete home route and is not suppressed or misattributed to this composer.</x:v>
      </x:c>
    </x:row>
    <x:row r="215" ht="48" customHeight="1">
      <x:c r="A215" s="18" t="str">
        <x:v>SEC-007</x:v>
      </x:c>
      <x:c r="B215" s="16" t="str">
        <x:v>POST-RLS-AUTHORITY</x:v>
      </x:c>
      <x:c r="C215" s="16" t="str">
        <x:v>Post and audit-event staging database posture</x:v>
      </x:c>
      <x:c r="D215" s="16" t="str">
        <x:v>system</x:v>
      </x:c>
      <x:c r="E215" s="16" t="str">
        <x:v>Supabase Postgres catalog | Post | AuditEvent</x:v>
      </x:c>
      <x:c r="F215" s="16" t="str">
        <x:v>Database authority</x:v>
      </x:c>
      <x:c r="G215" s="16" t="str">
        <x:v>57 migrations applied; current RLS and grants inspected</x:v>
      </x:c>
      <x:c r="H215" s="16" t="str">
        <x:v>read-only staging catalog</x:v>
      </x:c>
      <x:c r="I215" s="16" t="str">
        <x:v>staging database</x:v>
      </x:c>
      <x:c r="J215" s="16" t="str">
        <x:v>npm run audit:db:stage plus focused Prisma catalog query</x:v>
      </x:c>
      <x:c r="K215" s="16" t="str">
        <x:v>Staging DATABASE_URL; never production</x:v>
      </x:c>
      <x:c r="L215" s="16" t="str">
        <x:v>1</x:v>
      </x:c>
      <x:c r="M215" s="16" t="str">
        <x:v>current object authority</x:v>
      </x:c>
      <x:c r="N215" s="16" t="str">
        <x:v>Inspect relation RLS direct grants policies and migration state without changing data</x:v>
      </x:c>
      <x:c r="O215" s="16" t="str">
        <x:v>Post and AuditEvent stay unavailable to Data API client roles and writes remain backend-authoritative</x:v>
      </x:c>
      <x:c r="P215" s="16" t="str">
        <x:v>RLS enabled on both; anon authenticated and PUBLIC have no grants; zero direct policies; service_role trusted warning remains</x:v>
      </x:c>
      <x:c r="Q215" s="16" t="str">
        <x:v>Postgres catalog</x:v>
      </x:c>
      <x:c r="R215" s="16" t="str">
        <x:v>Read-only queries completed; global preflight still blocked by SEC-004 future defaults</x:v>
      </x:c>
      <x:c r="S215" s="16" t="str"/>
      <x:c r="T215" s="16" t="str">
        <x:v>_prisma_migrations | Post | AuditEvent</x:v>
      </x:c>
      <x:c r="U215" s="16" t="str">
        <x:v>No row mutation</x:v>
      </x:c>
      <x:c r="V215" s="16" t="str">
        <x:v>RLS enabled; not forced; direct client DML absent; zero policies</x:v>
      </x:c>
      <x:c r="W215" s="16" t="str">
        <x:v>No product audit expected for catalog reads</x:v>
      </x:c>
      <x:c r="X215" s="16" t="str"/>
      <x:c r="Y215" s="16" t="str">
        <x:v>not applicable</x:v>
      </x:c>
      <x:c r="Z215" s="16" t="str">
        <x:v>all roles</x:v>
      </x:c>
      <x:c r="AA215" s="16" t="str">
        <x:v>Client roles cannot access current Post or AuditEvent objects directly</x:v>
      </x:c>
      <x:c r="AB215" s="16" t="str">
        <x:v>passed for current objects; SEC-004 remains open</x:v>
      </x:c>
      <x:c r="AC215" s="16" t="str">
        <x:v>requires privileged global default-grant fix</x:v>
      </x:c>
      <x:c r="AD215" s="16" t="str">
        <x:v>not applicable</x:v>
      </x:c>
      <x:c r="AE215" s="16" t="str">
        <x:v>not applicable</x:v>
      </x:c>
      <x:c r="AF215" s="16" t="str">
        <x:v>not applicable</x:v>
      </x:c>
      <x:c r="AG215" s="16" t="str">
        <x:v>not applicable</x:v>
      </x:c>
      <x:c r="AH215" s="16" t="str">
        <x:v>protects club posts and their audit trail</x:v>
      </x:c>
      <x:c r="AI215" s="16" t="str">
        <x:v>not applicable</x:v>
      </x:c>
      <x:c r="AJ215" s="16" t="str">
        <x:v>not applicable</x:v>
      </x:c>
      <x:c r="AK215" s="16" t="str">
        <x:v>fixed</x:v>
      </x:c>
      <x:c r="AL215" s="16" t="str">
        <x:v>critical</x:v>
      </x:c>
      <x:c r="AM215" s="16" t="str">
        <x:v>reviews/ios-native-audit/runtime/2026-08-01/create-club-post-final/db-post-authority.md | scripts/db-staging-preflight.js | reviews/ios-native-audit/coverage.csv</x:v>
      </x:c>
      <x:c r="AN215" s="16" t="str">
        <x:v>No current-object exposure found; the existing supabase_admin future-default blocker still prevents release approval</x:v>
      </x:c>
      <x:c r="AO215" s="16" t="str">
        <x:v>fix(social): harden club update publishing</x:v>
      </x:c>
      <x:c r="AP215" s="16" t="str">
        <x:v>57/57 migrations; focused Post and AuditEvent catalog checks passed read-only</x:v>
      </x:c>
      <x:c r="AQ215" s="16" t="str">
        <x:v>Supabase MCP is unavailable under ENV-003. service_role keeps trusted direct access and must never enter a client bundle.</x:v>
      </x:c>
    </x:row>
  </x:sheetData>
  <x:conditionalFormatting sqref="AK2:AK215">
    <x:cfRule type="containsText" dxfId="0" priority="1" operator="containsText" text="fixed"/>
    <x:cfRule type="containsText" dxfId="1" priority="2" operator="containsText" text="blocked"/>
    <x:cfRule type="containsText" dxfId="2" priority="3" operator="containsText" text="pending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4" hidden="0" customWidth="1"/>
    <x:col min="4" max="4" width="30" hidden="0" customWidth="1"/>
    <x:col min="5" max="5" width="12" hidden="0" customWidth="1"/>
    <x:col min="6" max="6" width="16" hidden="0" customWidth="1"/>
  </x:cols>
  <x:sheetData>
    <x:row r="1">
      <x:c r="A1" s="74" t="str">
        <x:v>Clubroom iOS audit evidence</x:v>
      </x:c>
      <x:c r="B1" s="74"/>
      <x:c r="C1" s="74"/>
      <x:c r="D1" s="74"/>
      <x:c r="E1" s="74"/>
      <x:c r="F1" s="74"/>
    </x:row>
    <x:row r="2">
      <x:c r="A2" s="74"/>
      <x:c r="B2" s="74"/>
      <x:c r="C2" s="74"/>
      <x:c r="D2" s="74"/>
      <x:c r="E2" s="74"/>
      <x:c r="F2" s="74"/>
    </x:row>
    <x:row r="3">
      <x:c r="A3" s="75"/>
      <x:c r="B3" s="75"/>
      <x:c r="C3" s="75"/>
      <x:c r="D3" s="75"/>
      <x:c r="E3" s="75"/>
      <x:c r="F3" s="75"/>
    </x:row>
    <x:row r="4">
      <x:c r="A4" s="40" t="str">
        <x:v>Coverage</x:v>
      </x:c>
      <x:c r="B4" s="40" t="str">
        <x:v>Count</x:v>
      </x:c>
      <x:c r="C4" s="75"/>
      <x:c r="D4" s="40" t="str">
        <x:v>Current slice</x:v>
      </x:c>
      <x:c r="E4" s="40" t="str">
        <x:v>Result</x:v>
      </x:c>
      <x:c r="F4" s="40" t="str">
        <x:v>Evidence ID</x:v>
      </x:c>
    </x:row>
    <x:row r="5">
      <x:c r="A5" s="31" t="str">
        <x:v>Evidence records</x:v>
      </x:c>
      <x:c r="B5" s="50" t="n">
        <x:f>COUNTA('Evidence'!$A$2:$A$215)</x:f>
        <x:v>214</x:v>
      </x:c>
      <x:c r="C5" s="75"/>
      <x:c r="D5" s="31" t="str">
        <x:v>Create club update route</x:v>
      </x:c>
      <x:c r="E5" s="62" t="str">
        <x:v>Fixed</x:v>
      </x:c>
      <x:c r="F5" s="31" t="str">
        <x:v>ROUTE-002</x:v>
      </x:c>
    </x:row>
    <x:row r="6">
      <x:c r="A6" s="31" t="str">
        <x:v>Fixed</x:v>
      </x:c>
      <x:c r="B6" s="50" t="n">
        <x:f>COUNTIF('Evidence'!$AK$2:$AK$215,"fixed")</x:f>
        <x:v>70</x:v>
      </x:c>
      <x:c r="C6" s="75"/>
      <x:c r="D6" s="31" t="str">
        <x:v>Lean composer</x:v>
      </x:c>
      <x:c r="E6" s="62" t="str">
        <x:v>Fixed</x:v>
      </x:c>
      <x:c r="F6" s="31" t="str">
        <x:v>UI-036</x:v>
      </x:c>
    </x:row>
    <x:row r="7">
      <x:c r="A7" s="31" t="str">
        <x:v>Passed</x:v>
      </x:c>
      <x:c r="B7" s="50" t="n">
        <x:f>COUNTIF('Evidence'!$AK$2:$AK$215,"passed")</x:f>
        <x:v>61</x:v>
      </x:c>
      <x:c r="C7" s="75"/>
      <x:c r="D7" s="31" t="str">
        <x:v>Fastify write authority</x:v>
      </x:c>
      <x:c r="E7" s="62" t="str">
        <x:v>Fixed</x:v>
      </x:c>
      <x:c r="F7" s="31" t="str">
        <x:v>API-007</x:v>
      </x:c>
    </x:row>
    <x:row r="8">
      <x:c r="A8" s="31" t="str">
        <x:v>Blocked</x:v>
      </x:c>
      <x:c r="B8" s="50" t="n">
        <x:f>COUNTIF('Evidence'!$AK$2:$AK$215,"blocked")</x:f>
        <x:v>6</x:v>
      </x:c>
      <x:c r="C8" s="75"/>
      <x:c r="D8" s="31" t="str">
        <x:v>Role and failure replay</x:v>
      </x:c>
      <x:c r="E8" s="62" t="str">
        <x:v>Fixed</x:v>
      </x:c>
      <x:c r="F8" s="31" t="str">
        <x:v>QA-012</x:v>
      </x:c>
    </x:row>
    <x:row r="9">
      <x:c r="A9" s="31" t="str">
        <x:v>Pending</x:v>
      </x:c>
      <x:c r="B9" s="50" t="n">
        <x:f>COUNTIF('Evidence'!$AK$2:$AK$215,"pending")</x:f>
        <x:v>75</x:v>
      </x:c>
      <x:c r="C9" s="75"/>
      <x:c r="D9" s="32" t="str">
        <x:v>Post / audit RLS posture</x:v>
      </x:c>
      <x:c r="E9" s="63" t="str">
        <x:v>Fixed</x:v>
      </x:c>
      <x:c r="F9" s="32" t="str">
        <x:v>SEC-007</x:v>
      </x:c>
    </x:row>
    <x:row r="10">
      <x:c r="A10" s="31" t="str">
        <x:v>Critical</x:v>
      </x:c>
      <x:c r="B10" s="50" t="n">
        <x:f>COUNTIF('Evidence'!$AL$2:$AL$215,"critical")</x:f>
        <x:v>2</x:v>
      </x:c>
      <x:c r="C10" s="75"/>
      <x:c r="D10" s="75"/>
      <x:c r="E10" s="75"/>
      <x:c r="F10" s="75"/>
    </x:row>
    <x:row r="11">
      <x:c r="A11" s="32" t="str">
        <x:v>High</x:v>
      </x:c>
      <x:c r="B11" s="51" t="n">
        <x:f>COUNTIF('Evidence'!$AL$2:$AL$215,"high")</x:f>
        <x:v>58</x:v>
      </x:c>
      <x:c r="C11" s="75"/>
      <x:c r="D11" s="75"/>
      <x:c r="E11" s="75"/>
      <x:c r="F11" s="75"/>
    </x:row>
    <x:row r="12">
      <x:c r="A12" s="75"/>
      <x:c r="B12" s="75"/>
      <x:c r="C12" s="75"/>
      <x:c r="D12" s="75"/>
      <x:c r="E12" s="75"/>
      <x:c r="F12" s="75"/>
    </x:row>
    <x:row r="13" ht="42" customHeight="1">
      <x:c r="A13" s="72" t="str">
        <x:v>Open blockers remain visible in Evidence. This workbook does not convert ENV-003, ENV-004, ENV-006, LEGAL-001, or SEC-004 into passes.</x:v>
      </x:c>
      <x:c r="B13" s="72"/>
      <x:c r="C13" s="72"/>
      <x:c r="D13" s="72"/>
      <x:c r="E13" s="72"/>
      <x:c r="F13" s="72"/>
    </x:row>
  </x:sheetData>
  <x:mergeCells>
    <x:mergeCell ref="A1:F2"/>
    <x:mergeCell ref="A13:F13"/>
  </x:mergeCells>
  <x:pageMargins left="0.7" right="0.7" top="0.75" bottom="0.75" header="0.3" footer="0.3"/>
</x:worksheet>
</file>